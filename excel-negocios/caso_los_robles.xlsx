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mc:AlternateContent xmlns:mc="http://schemas.openxmlformats.org/markup-compatibility/2006">
    <mc:Choice Requires="x15">
      <x15ac:absPath xmlns:x15ac="http://schemas.microsoft.com/office/spreadsheetml/2010/11/ac" url="/Users/santilara/Documents/Codex/2026-09-30/es/outputs/portafolio-datos-negocios/excel-negocios/"/>
    </mc:Choice>
  </mc:AlternateContent>
  <xr:revisionPtr revIDLastSave="0" documentId="13_ncr:1_{32E82F2B-CD95-244A-8423-49486DE2BB7A}" xr6:coauthVersionLast="47" xr6:coauthVersionMax="47" xr10:uidLastSave="{00000000-0000-0000-0000-000000000000}"/>
  <bookViews>
    <workbookView xWindow="0" yWindow="660" windowWidth="30240" windowHeight="17740" activeTab="7" xr2:uid="{00000000-000D-0000-FFFF-FFFF00000000}"/>
  </bookViews>
  <sheets>
    <sheet name="0 - Portada" sheetId="1" r:id="rId1"/>
    <sheet name="Catalogo_Productos" sheetId="2" r:id="rId2"/>
    <sheet name="Reto1_Datos" sheetId="3" r:id="rId3"/>
    <sheet name="Reto2_Logica" sheetId="4" r:id="rId4"/>
    <sheet name="Reto3_Estadisticas" sheetId="5" r:id="rId5"/>
    <sheet name="Reto4_TablaDin" sheetId="6" r:id="rId6"/>
    <sheet name="Reto5_Financiero" sheetId="7" r:id="rId7"/>
    <sheet name="Reto6_Dashboard" sheetId="8" r:id="rId8"/>
    <sheet name="Analisis_Individual" sheetId="9" r:id="rId9"/>
    <sheet name="Tips_Defensa" sheetId="10" r:id="rId10"/>
  </sheets>
  <definedNames>
    <definedName name="Slicer_Trim">#N/A</definedName>
  </definedNames>
  <calcPr calcId="191029" forceFullCalc="1"/>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8" l="1"/>
  <c r="B19" i="8"/>
  <c r="C18" i="8"/>
  <c r="B18" i="8"/>
  <c r="C17" i="8"/>
  <c r="B17" i="8"/>
  <c r="D17" i="8" s="1"/>
  <c r="C16" i="8"/>
  <c r="B16" i="8"/>
  <c r="D16" i="8" s="1"/>
  <c r="C15" i="8"/>
  <c r="B15" i="8"/>
  <c r="E30" i="7"/>
  <c r="B30" i="7"/>
  <c r="E29" i="7"/>
  <c r="B29" i="7"/>
  <c r="B12" i="7"/>
  <c r="G9" i="5"/>
  <c r="G8" i="5"/>
  <c r="G7" i="5"/>
  <c r="G6" i="5"/>
  <c r="G5" i="5"/>
  <c r="G107" i="3"/>
  <c r="K107" i="3" s="1"/>
  <c r="M107" i="3" s="1"/>
  <c r="G106" i="3"/>
  <c r="G105" i="3"/>
  <c r="H105" i="3" s="1"/>
  <c r="G104" i="3"/>
  <c r="G103" i="3"/>
  <c r="G102" i="3"/>
  <c r="K102" i="3" s="1"/>
  <c r="M102" i="3" s="1"/>
  <c r="G101" i="3"/>
  <c r="G100" i="3"/>
  <c r="G99" i="3"/>
  <c r="G98" i="3"/>
  <c r="G97" i="3"/>
  <c r="G96" i="3"/>
  <c r="G95" i="3"/>
  <c r="H95" i="3" s="1"/>
  <c r="G94" i="3"/>
  <c r="G93" i="3"/>
  <c r="G92" i="3"/>
  <c r="G91" i="3"/>
  <c r="G90" i="3"/>
  <c r="G89" i="3"/>
  <c r="G88" i="3"/>
  <c r="K88" i="3" s="1"/>
  <c r="M88" i="3" s="1"/>
  <c r="G87" i="3"/>
  <c r="G86" i="3"/>
  <c r="G85" i="3"/>
  <c r="G84" i="3"/>
  <c r="G83" i="3"/>
  <c r="K83" i="3" s="1"/>
  <c r="M83" i="3" s="1"/>
  <c r="G82" i="3"/>
  <c r="G81" i="3"/>
  <c r="G80" i="3"/>
  <c r="H80" i="3" s="1"/>
  <c r="G79" i="3"/>
  <c r="G78" i="3"/>
  <c r="J78" i="3" s="1"/>
  <c r="L78" i="3" s="1"/>
  <c r="F79" i="4" s="1"/>
  <c r="G79" i="4" s="1"/>
  <c r="G77" i="3"/>
  <c r="G76" i="3"/>
  <c r="G75" i="3"/>
  <c r="G74" i="3"/>
  <c r="G73" i="3"/>
  <c r="K73" i="3" s="1"/>
  <c r="M73" i="3" s="1"/>
  <c r="G72" i="3"/>
  <c r="G71" i="3"/>
  <c r="G70" i="3"/>
  <c r="G69" i="3"/>
  <c r="G68" i="3"/>
  <c r="H68" i="3" s="1"/>
  <c r="G67" i="3"/>
  <c r="G66" i="3"/>
  <c r="G65" i="3"/>
  <c r="G64" i="3"/>
  <c r="G63" i="3"/>
  <c r="J63" i="3" s="1"/>
  <c r="L63" i="3" s="1"/>
  <c r="F64" i="4" s="1"/>
  <c r="G64" i="4" s="1"/>
  <c r="G62" i="3"/>
  <c r="G61" i="3"/>
  <c r="G60" i="3"/>
  <c r="H60" i="3" s="1"/>
  <c r="G59" i="3"/>
  <c r="G58" i="3"/>
  <c r="J58" i="3" s="1"/>
  <c r="L58" i="3" s="1"/>
  <c r="F59" i="4" s="1"/>
  <c r="G59" i="4" s="1"/>
  <c r="G57" i="3"/>
  <c r="G56" i="3"/>
  <c r="G55" i="3"/>
  <c r="H55" i="3" s="1"/>
  <c r="G54" i="3"/>
  <c r="G53" i="3"/>
  <c r="G52" i="3"/>
  <c r="G51" i="3"/>
  <c r="G50" i="3"/>
  <c r="G49" i="3"/>
  <c r="G48" i="3"/>
  <c r="G47" i="3"/>
  <c r="G46" i="3"/>
  <c r="G45" i="3"/>
  <c r="H45" i="3" s="1"/>
  <c r="G44" i="3"/>
  <c r="G43" i="3"/>
  <c r="G42" i="3"/>
  <c r="G41" i="3"/>
  <c r="G40" i="3"/>
  <c r="G39" i="3"/>
  <c r="G38" i="3"/>
  <c r="K38" i="3" s="1"/>
  <c r="M38" i="3" s="1"/>
  <c r="G37" i="3"/>
  <c r="G36" i="3"/>
  <c r="G35" i="3"/>
  <c r="G34" i="3"/>
  <c r="G33" i="3"/>
  <c r="H33" i="3" s="1"/>
  <c r="G32" i="3"/>
  <c r="G31" i="3"/>
  <c r="G30" i="3"/>
  <c r="H30" i="3" s="1"/>
  <c r="G29" i="3"/>
  <c r="G28" i="3"/>
  <c r="H28" i="3" s="1"/>
  <c r="G27" i="3"/>
  <c r="G26" i="3"/>
  <c r="G25" i="3"/>
  <c r="K25" i="3" s="1"/>
  <c r="M25" i="3" s="1"/>
  <c r="G24" i="3"/>
  <c r="G23" i="3"/>
  <c r="H23" i="3" s="1"/>
  <c r="G22" i="3"/>
  <c r="K22" i="3" s="1"/>
  <c r="M22" i="3" s="1"/>
  <c r="G21" i="3"/>
  <c r="G20" i="3"/>
  <c r="G19" i="3"/>
  <c r="G18" i="3"/>
  <c r="A6" i="3"/>
  <c r="E108" i="4"/>
  <c r="D108" i="4"/>
  <c r="C108" i="4"/>
  <c r="B108" i="4"/>
  <c r="A108" i="4"/>
  <c r="E107" i="4"/>
  <c r="D107" i="4"/>
  <c r="C107" i="4"/>
  <c r="B107" i="4"/>
  <c r="A107" i="4"/>
  <c r="E106" i="4"/>
  <c r="D106" i="4"/>
  <c r="C106" i="4"/>
  <c r="B106" i="4"/>
  <c r="A106" i="4"/>
  <c r="E105" i="4"/>
  <c r="D105" i="4"/>
  <c r="C105" i="4"/>
  <c r="B105" i="4"/>
  <c r="A105" i="4"/>
  <c r="E104" i="4"/>
  <c r="D104" i="4"/>
  <c r="C104" i="4"/>
  <c r="B104" i="4"/>
  <c r="A104" i="4"/>
  <c r="E103" i="4"/>
  <c r="D103" i="4"/>
  <c r="C103" i="4"/>
  <c r="B103" i="4"/>
  <c r="A103" i="4"/>
  <c r="E102" i="4"/>
  <c r="D102" i="4"/>
  <c r="C102" i="4"/>
  <c r="B102" i="4"/>
  <c r="A102" i="4"/>
  <c r="E101" i="4"/>
  <c r="D101" i="4"/>
  <c r="C101" i="4"/>
  <c r="B101" i="4"/>
  <c r="A101" i="4"/>
  <c r="E100" i="4"/>
  <c r="D100" i="4"/>
  <c r="C100" i="4"/>
  <c r="B100" i="4"/>
  <c r="A100" i="4"/>
  <c r="E99" i="4"/>
  <c r="D99" i="4"/>
  <c r="C99" i="4"/>
  <c r="B99" i="4"/>
  <c r="A99" i="4"/>
  <c r="E98" i="4"/>
  <c r="D98" i="4"/>
  <c r="C98" i="4"/>
  <c r="B98" i="4"/>
  <c r="A98" i="4"/>
  <c r="E97" i="4"/>
  <c r="D97" i="4"/>
  <c r="C97" i="4"/>
  <c r="B97" i="4"/>
  <c r="A97" i="4"/>
  <c r="E96" i="4"/>
  <c r="D96" i="4"/>
  <c r="C96" i="4"/>
  <c r="B96" i="4"/>
  <c r="A96" i="4"/>
  <c r="E95" i="4"/>
  <c r="D95" i="4"/>
  <c r="C95" i="4"/>
  <c r="B95" i="4"/>
  <c r="A95" i="4"/>
  <c r="E94" i="4"/>
  <c r="D94" i="4"/>
  <c r="C94" i="4"/>
  <c r="B94" i="4"/>
  <c r="A94" i="4"/>
  <c r="E93" i="4"/>
  <c r="D93" i="4"/>
  <c r="C93" i="4"/>
  <c r="B93" i="4"/>
  <c r="A93" i="4"/>
  <c r="E92" i="4"/>
  <c r="D92" i="4"/>
  <c r="C92" i="4"/>
  <c r="B92" i="4"/>
  <c r="A92" i="4"/>
  <c r="E91" i="4"/>
  <c r="D91" i="4"/>
  <c r="C91" i="4"/>
  <c r="B91" i="4"/>
  <c r="A91" i="4"/>
  <c r="E90" i="4"/>
  <c r="D90" i="4"/>
  <c r="C90" i="4"/>
  <c r="B90" i="4"/>
  <c r="A90" i="4"/>
  <c r="E89" i="4"/>
  <c r="D89" i="4"/>
  <c r="C89" i="4"/>
  <c r="B89" i="4"/>
  <c r="A89" i="4"/>
  <c r="E88" i="4"/>
  <c r="D88" i="4"/>
  <c r="C88" i="4"/>
  <c r="B88" i="4"/>
  <c r="A88" i="4"/>
  <c r="E87" i="4"/>
  <c r="D87" i="4"/>
  <c r="C87" i="4"/>
  <c r="B87" i="4"/>
  <c r="A87" i="4"/>
  <c r="E86" i="4"/>
  <c r="D86" i="4"/>
  <c r="C86" i="4"/>
  <c r="B86" i="4"/>
  <c r="A86" i="4"/>
  <c r="E85" i="4"/>
  <c r="D85" i="4"/>
  <c r="C85" i="4"/>
  <c r="B85" i="4"/>
  <c r="A85" i="4"/>
  <c r="E84" i="4"/>
  <c r="D84" i="4"/>
  <c r="C84" i="4"/>
  <c r="B84" i="4"/>
  <c r="A84" i="4"/>
  <c r="E83" i="4"/>
  <c r="D83" i="4"/>
  <c r="C83" i="4"/>
  <c r="B83" i="4"/>
  <c r="A83" i="4"/>
  <c r="E82" i="4"/>
  <c r="D82" i="4"/>
  <c r="C82" i="4"/>
  <c r="B82" i="4"/>
  <c r="A82" i="4"/>
  <c r="E81" i="4"/>
  <c r="D81" i="4"/>
  <c r="C81" i="4"/>
  <c r="B81" i="4"/>
  <c r="A81" i="4"/>
  <c r="E80" i="4"/>
  <c r="D80" i="4"/>
  <c r="C80" i="4"/>
  <c r="B80" i="4"/>
  <c r="A80" i="4"/>
  <c r="E79" i="4"/>
  <c r="D79" i="4"/>
  <c r="C79" i="4"/>
  <c r="B79" i="4"/>
  <c r="A79" i="4"/>
  <c r="E78" i="4"/>
  <c r="D78" i="4"/>
  <c r="C78" i="4"/>
  <c r="B78" i="4"/>
  <c r="A78" i="4"/>
  <c r="E77" i="4"/>
  <c r="D77" i="4"/>
  <c r="C77" i="4"/>
  <c r="B77" i="4"/>
  <c r="A77" i="4"/>
  <c r="E76" i="4"/>
  <c r="D76" i="4"/>
  <c r="C76" i="4"/>
  <c r="B76" i="4"/>
  <c r="A76" i="4"/>
  <c r="E75" i="4"/>
  <c r="D75" i="4"/>
  <c r="C75" i="4"/>
  <c r="B75" i="4"/>
  <c r="A75" i="4"/>
  <c r="E74" i="4"/>
  <c r="D74" i="4"/>
  <c r="C74" i="4"/>
  <c r="B74" i="4"/>
  <c r="A74" i="4"/>
  <c r="E73" i="4"/>
  <c r="D73" i="4"/>
  <c r="C73" i="4"/>
  <c r="B73" i="4"/>
  <c r="A73" i="4"/>
  <c r="E72" i="4"/>
  <c r="D72" i="4"/>
  <c r="C72" i="4"/>
  <c r="B72" i="4"/>
  <c r="A72" i="4"/>
  <c r="E71" i="4"/>
  <c r="D71" i="4"/>
  <c r="C71" i="4"/>
  <c r="B71" i="4"/>
  <c r="A71" i="4"/>
  <c r="E70" i="4"/>
  <c r="D70" i="4"/>
  <c r="C70" i="4"/>
  <c r="B70" i="4"/>
  <c r="A70" i="4"/>
  <c r="E69" i="4"/>
  <c r="D69" i="4"/>
  <c r="C69" i="4"/>
  <c r="B69" i="4"/>
  <c r="A69" i="4"/>
  <c r="E68" i="4"/>
  <c r="D68" i="4"/>
  <c r="C68" i="4"/>
  <c r="B68" i="4"/>
  <c r="A68" i="4"/>
  <c r="E67" i="4"/>
  <c r="D67" i="4"/>
  <c r="C67" i="4"/>
  <c r="B67" i="4"/>
  <c r="A67" i="4"/>
  <c r="E66" i="4"/>
  <c r="D66" i="4"/>
  <c r="C66" i="4"/>
  <c r="B66" i="4"/>
  <c r="A66" i="4"/>
  <c r="E65" i="4"/>
  <c r="D65" i="4"/>
  <c r="C65" i="4"/>
  <c r="B65" i="4"/>
  <c r="A65" i="4"/>
  <c r="E64" i="4"/>
  <c r="D64" i="4"/>
  <c r="C64" i="4"/>
  <c r="B64" i="4"/>
  <c r="A64" i="4"/>
  <c r="E63" i="4"/>
  <c r="D63" i="4"/>
  <c r="C63" i="4"/>
  <c r="B63" i="4"/>
  <c r="A63" i="4"/>
  <c r="E62" i="4"/>
  <c r="D62" i="4"/>
  <c r="C62" i="4"/>
  <c r="B62" i="4"/>
  <c r="A62" i="4"/>
  <c r="E61" i="4"/>
  <c r="D61" i="4"/>
  <c r="C61" i="4"/>
  <c r="B61" i="4"/>
  <c r="A61" i="4"/>
  <c r="E60" i="4"/>
  <c r="D60" i="4"/>
  <c r="C60" i="4"/>
  <c r="B60" i="4"/>
  <c r="A60" i="4"/>
  <c r="E59" i="4"/>
  <c r="D59" i="4"/>
  <c r="C59" i="4"/>
  <c r="B59" i="4"/>
  <c r="A59" i="4"/>
  <c r="E58" i="4"/>
  <c r="D58" i="4"/>
  <c r="C58" i="4"/>
  <c r="B58" i="4"/>
  <c r="A58" i="4"/>
  <c r="E57" i="4"/>
  <c r="D57" i="4"/>
  <c r="C57" i="4"/>
  <c r="B57" i="4"/>
  <c r="A57" i="4"/>
  <c r="E56" i="4"/>
  <c r="D56" i="4"/>
  <c r="C56" i="4"/>
  <c r="B56" i="4"/>
  <c r="A56" i="4"/>
  <c r="E55" i="4"/>
  <c r="D55" i="4"/>
  <c r="C55" i="4"/>
  <c r="B55" i="4"/>
  <c r="A55" i="4"/>
  <c r="E54" i="4"/>
  <c r="D54" i="4"/>
  <c r="C54" i="4"/>
  <c r="B54" i="4"/>
  <c r="A54" i="4"/>
  <c r="E53" i="4"/>
  <c r="D53" i="4"/>
  <c r="C53" i="4"/>
  <c r="B53" i="4"/>
  <c r="A53" i="4"/>
  <c r="E52" i="4"/>
  <c r="D52" i="4"/>
  <c r="C52" i="4"/>
  <c r="B52" i="4"/>
  <c r="A52" i="4"/>
  <c r="E51" i="4"/>
  <c r="D51" i="4"/>
  <c r="C51" i="4"/>
  <c r="B51" i="4"/>
  <c r="A51" i="4"/>
  <c r="E50" i="4"/>
  <c r="D50" i="4"/>
  <c r="C50" i="4"/>
  <c r="B50" i="4"/>
  <c r="A50" i="4"/>
  <c r="E49" i="4"/>
  <c r="D49" i="4"/>
  <c r="C49" i="4"/>
  <c r="B49" i="4"/>
  <c r="A49" i="4"/>
  <c r="E48" i="4"/>
  <c r="D48" i="4"/>
  <c r="C48" i="4"/>
  <c r="B48" i="4"/>
  <c r="A48" i="4"/>
  <c r="E47" i="4"/>
  <c r="D47" i="4"/>
  <c r="C47" i="4"/>
  <c r="B47" i="4"/>
  <c r="A47" i="4"/>
  <c r="E46" i="4"/>
  <c r="D46" i="4"/>
  <c r="C46" i="4"/>
  <c r="B46" i="4"/>
  <c r="A46" i="4"/>
  <c r="E45" i="4"/>
  <c r="D45" i="4"/>
  <c r="C45" i="4"/>
  <c r="B45" i="4"/>
  <c r="A45" i="4"/>
  <c r="E44" i="4"/>
  <c r="D44" i="4"/>
  <c r="C44" i="4"/>
  <c r="B44" i="4"/>
  <c r="A44" i="4"/>
  <c r="E43" i="4"/>
  <c r="D43" i="4"/>
  <c r="C43" i="4"/>
  <c r="B43" i="4"/>
  <c r="A43" i="4"/>
  <c r="E42" i="4"/>
  <c r="D42" i="4"/>
  <c r="C42" i="4"/>
  <c r="B42" i="4"/>
  <c r="A42" i="4"/>
  <c r="E41" i="4"/>
  <c r="D41" i="4"/>
  <c r="C41" i="4"/>
  <c r="B41" i="4"/>
  <c r="A41" i="4"/>
  <c r="E40" i="4"/>
  <c r="D40" i="4"/>
  <c r="C40" i="4"/>
  <c r="B40" i="4"/>
  <c r="A40" i="4"/>
  <c r="E39" i="4"/>
  <c r="D39" i="4"/>
  <c r="C39" i="4"/>
  <c r="B39" i="4"/>
  <c r="A39" i="4"/>
  <c r="E38" i="4"/>
  <c r="D38" i="4"/>
  <c r="C38" i="4"/>
  <c r="B38" i="4"/>
  <c r="A38" i="4"/>
  <c r="E37" i="4"/>
  <c r="D37" i="4"/>
  <c r="C37" i="4"/>
  <c r="B37" i="4"/>
  <c r="A37" i="4"/>
  <c r="E36" i="4"/>
  <c r="D36" i="4"/>
  <c r="C36" i="4"/>
  <c r="B36" i="4"/>
  <c r="A36" i="4"/>
  <c r="E35" i="4"/>
  <c r="D35" i="4"/>
  <c r="C35" i="4"/>
  <c r="B35" i="4"/>
  <c r="A35" i="4"/>
  <c r="E34" i="4"/>
  <c r="D34" i="4"/>
  <c r="C34" i="4"/>
  <c r="B34" i="4"/>
  <c r="A34" i="4"/>
  <c r="E33" i="4"/>
  <c r="D33" i="4"/>
  <c r="C33" i="4"/>
  <c r="B33" i="4"/>
  <c r="A33" i="4"/>
  <c r="E32" i="4"/>
  <c r="D32" i="4"/>
  <c r="C32" i="4"/>
  <c r="B32" i="4"/>
  <c r="A32" i="4"/>
  <c r="E31" i="4"/>
  <c r="D31" i="4"/>
  <c r="C31" i="4"/>
  <c r="B31" i="4"/>
  <c r="A31" i="4"/>
  <c r="E30" i="4"/>
  <c r="D30" i="4"/>
  <c r="C30" i="4"/>
  <c r="B30" i="4"/>
  <c r="A30" i="4"/>
  <c r="E29" i="4"/>
  <c r="D29" i="4"/>
  <c r="C29" i="4"/>
  <c r="B29" i="4"/>
  <c r="A29" i="4"/>
  <c r="E28" i="4"/>
  <c r="D28" i="4"/>
  <c r="C28" i="4"/>
  <c r="B28" i="4"/>
  <c r="A28" i="4"/>
  <c r="E27" i="4"/>
  <c r="D27" i="4"/>
  <c r="C27" i="4"/>
  <c r="B27" i="4"/>
  <c r="A27" i="4"/>
  <c r="E26" i="4"/>
  <c r="D26" i="4"/>
  <c r="C26" i="4"/>
  <c r="B26" i="4"/>
  <c r="A26" i="4"/>
  <c r="E25" i="4"/>
  <c r="D25" i="4"/>
  <c r="C25" i="4"/>
  <c r="B25" i="4"/>
  <c r="A25" i="4"/>
  <c r="E24" i="4"/>
  <c r="D24" i="4"/>
  <c r="C24" i="4"/>
  <c r="B24" i="4"/>
  <c r="A24" i="4"/>
  <c r="E23" i="4"/>
  <c r="D23" i="4"/>
  <c r="C23" i="4"/>
  <c r="B23" i="4"/>
  <c r="A23" i="4"/>
  <c r="E22" i="4"/>
  <c r="D22" i="4"/>
  <c r="C22" i="4"/>
  <c r="B22" i="4"/>
  <c r="A22" i="4"/>
  <c r="E21" i="4"/>
  <c r="D21" i="4"/>
  <c r="C21" i="4"/>
  <c r="B21" i="4"/>
  <c r="A21" i="4"/>
  <c r="E20" i="4"/>
  <c r="D20" i="4"/>
  <c r="C20" i="4"/>
  <c r="B20" i="4"/>
  <c r="A20" i="4"/>
  <c r="E19" i="4"/>
  <c r="D19" i="4"/>
  <c r="C19" i="4"/>
  <c r="B19" i="4"/>
  <c r="A19" i="4"/>
  <c r="D19" i="8" l="1"/>
  <c r="D18" i="8"/>
  <c r="K61" i="3"/>
  <c r="M61" i="3" s="1"/>
  <c r="J61" i="3"/>
  <c r="L61" i="3" s="1"/>
  <c r="H61" i="3"/>
  <c r="D15" i="8"/>
  <c r="K106" i="3"/>
  <c r="M106" i="3" s="1"/>
  <c r="J106" i="3"/>
  <c r="L106" i="3" s="1"/>
  <c r="F107" i="4" s="1"/>
  <c r="G107" i="4" s="1"/>
  <c r="H106" i="3"/>
  <c r="J104" i="3"/>
  <c r="L104" i="3" s="1"/>
  <c r="H104" i="3"/>
  <c r="K104" i="3"/>
  <c r="M104" i="3" s="1"/>
  <c r="J103" i="3"/>
  <c r="L103" i="3" s="1"/>
  <c r="F104" i="4" s="1"/>
  <c r="G104" i="4" s="1"/>
  <c r="K103" i="3"/>
  <c r="M103" i="3" s="1"/>
  <c r="K101" i="3"/>
  <c r="M101" i="3" s="1"/>
  <c r="J101" i="3"/>
  <c r="L101" i="3" s="1"/>
  <c r="H101" i="3"/>
  <c r="J99" i="3"/>
  <c r="L99" i="3" s="1"/>
  <c r="F100" i="4" s="1"/>
  <c r="G100" i="4" s="1"/>
  <c r="K99" i="3"/>
  <c r="M99" i="3" s="1"/>
  <c r="H99" i="3"/>
  <c r="J98" i="3"/>
  <c r="L98" i="3" s="1"/>
  <c r="F99" i="4" s="1"/>
  <c r="G99" i="4" s="1"/>
  <c r="K98" i="3"/>
  <c r="M98" i="3" s="1"/>
  <c r="H98" i="3"/>
  <c r="J97" i="3"/>
  <c r="L97" i="3" s="1"/>
  <c r="F98" i="4" s="1"/>
  <c r="G98" i="4" s="1"/>
  <c r="K97" i="3"/>
  <c r="M97" i="3" s="1"/>
  <c r="H96" i="3"/>
  <c r="K96" i="3"/>
  <c r="M96" i="3" s="1"/>
  <c r="J96" i="3"/>
  <c r="L96" i="3" s="1"/>
  <c r="F97" i="4" s="1"/>
  <c r="G97" i="4" s="1"/>
  <c r="J94" i="3"/>
  <c r="L94" i="3" s="1"/>
  <c r="F95" i="4" s="1"/>
  <c r="G95" i="4" s="1"/>
  <c r="H94" i="3"/>
  <c r="K94" i="3"/>
  <c r="M94" i="3" s="1"/>
  <c r="J93" i="3"/>
  <c r="L93" i="3" s="1"/>
  <c r="F94" i="4" s="1"/>
  <c r="G94" i="4" s="1"/>
  <c r="K93" i="3"/>
  <c r="M93" i="3" s="1"/>
  <c r="J92" i="3"/>
  <c r="L92" i="3" s="1"/>
  <c r="F93" i="4" s="1"/>
  <c r="G93" i="4" s="1"/>
  <c r="K92" i="3"/>
  <c r="M92" i="3" s="1"/>
  <c r="K91" i="3"/>
  <c r="M91" i="3" s="1"/>
  <c r="J91" i="3"/>
  <c r="L91" i="3" s="1"/>
  <c r="F92" i="4" s="1"/>
  <c r="G92" i="4" s="1"/>
  <c r="H91" i="3"/>
  <c r="J89" i="3"/>
  <c r="L89" i="3" s="1"/>
  <c r="F90" i="4" s="1"/>
  <c r="G90" i="4" s="1"/>
  <c r="K89" i="3"/>
  <c r="M89" i="3" s="1"/>
  <c r="H89" i="3"/>
  <c r="J87" i="3"/>
  <c r="L87" i="3" s="1"/>
  <c r="F88" i="4" s="1"/>
  <c r="G88" i="4" s="1"/>
  <c r="K87" i="3"/>
  <c r="M87" i="3" s="1"/>
  <c r="K86" i="3"/>
  <c r="M86" i="3" s="1"/>
  <c r="J86" i="3"/>
  <c r="L86" i="3" s="1"/>
  <c r="H86" i="3"/>
  <c r="J84" i="3"/>
  <c r="L84" i="3" s="1"/>
  <c r="K84" i="3"/>
  <c r="M84" i="3" s="1"/>
  <c r="H84" i="3"/>
  <c r="J82" i="3"/>
  <c r="L82" i="3" s="1"/>
  <c r="F83" i="4" s="1"/>
  <c r="G83" i="4" s="1"/>
  <c r="K82" i="3"/>
  <c r="M82" i="3" s="1"/>
  <c r="K81" i="3"/>
  <c r="M81" i="3" s="1"/>
  <c r="J81" i="3"/>
  <c r="L81" i="3" s="1"/>
  <c r="F82" i="4" s="1"/>
  <c r="G82" i="4" s="1"/>
  <c r="H81" i="3"/>
  <c r="J79" i="3"/>
  <c r="L79" i="3" s="1"/>
  <c r="F80" i="4" s="1"/>
  <c r="G80" i="4" s="1"/>
  <c r="K79" i="3"/>
  <c r="M79" i="3" s="1"/>
  <c r="H79" i="3"/>
  <c r="J77" i="3"/>
  <c r="L77" i="3" s="1"/>
  <c r="F78" i="4" s="1"/>
  <c r="G78" i="4" s="1"/>
  <c r="K77" i="3"/>
  <c r="M77" i="3" s="1"/>
  <c r="K76" i="3"/>
  <c r="M76" i="3" s="1"/>
  <c r="J76" i="3"/>
  <c r="L76" i="3" s="1"/>
  <c r="F77" i="4" s="1"/>
  <c r="G77" i="4" s="1"/>
  <c r="H76" i="3"/>
  <c r="J74" i="3"/>
  <c r="L74" i="3" s="1"/>
  <c r="F75" i="4" s="1"/>
  <c r="G75" i="4" s="1"/>
  <c r="H74" i="3"/>
  <c r="K74" i="3"/>
  <c r="M74" i="3" s="1"/>
  <c r="J72" i="3"/>
  <c r="L72" i="3" s="1"/>
  <c r="F73" i="4" s="1"/>
  <c r="G73" i="4" s="1"/>
  <c r="K72" i="3"/>
  <c r="M72" i="3" s="1"/>
  <c r="K71" i="3"/>
  <c r="M71" i="3" s="1"/>
  <c r="J71" i="3"/>
  <c r="L71" i="3" s="1"/>
  <c r="F72" i="4" s="1"/>
  <c r="G72" i="4" s="1"/>
  <c r="H71" i="3"/>
  <c r="J69" i="3"/>
  <c r="L69" i="3" s="1"/>
  <c r="F70" i="4" s="1"/>
  <c r="G70" i="4" s="1"/>
  <c r="K69" i="3"/>
  <c r="M69" i="3" s="1"/>
  <c r="H69" i="3"/>
  <c r="J67" i="3"/>
  <c r="L67" i="3" s="1"/>
  <c r="F68" i="4" s="1"/>
  <c r="G68" i="4" s="1"/>
  <c r="K67" i="3"/>
  <c r="M67" i="3" s="1"/>
  <c r="K66" i="3"/>
  <c r="M66" i="3" s="1"/>
  <c r="J66" i="3"/>
  <c r="L66" i="3" s="1"/>
  <c r="F67" i="4" s="1"/>
  <c r="G67" i="4" s="1"/>
  <c r="H66" i="3"/>
  <c r="J64" i="3"/>
  <c r="L64" i="3" s="1"/>
  <c r="F65" i="4" s="1"/>
  <c r="G65" i="4" s="1"/>
  <c r="K64" i="3"/>
  <c r="M64" i="3" s="1"/>
  <c r="H64" i="3"/>
  <c r="J62" i="3"/>
  <c r="L62" i="3" s="1"/>
  <c r="F63" i="4" s="1"/>
  <c r="G63" i="4" s="1"/>
  <c r="K62" i="3"/>
  <c r="M62" i="3" s="1"/>
  <c r="J59" i="3"/>
  <c r="L59" i="3" s="1"/>
  <c r="F60" i="4" s="1"/>
  <c r="G60" i="4" s="1"/>
  <c r="K59" i="3"/>
  <c r="M59" i="3" s="1"/>
  <c r="H59" i="3"/>
  <c r="J57" i="3"/>
  <c r="L57" i="3" s="1"/>
  <c r="F58" i="4" s="1"/>
  <c r="G58" i="4" s="1"/>
  <c r="K57" i="3"/>
  <c r="M57" i="3" s="1"/>
  <c r="J56" i="3"/>
  <c r="L56" i="3" s="1"/>
  <c r="F57" i="4" s="1"/>
  <c r="G57" i="4" s="1"/>
  <c r="H56" i="3"/>
  <c r="K56" i="3"/>
  <c r="M56" i="3" s="1"/>
  <c r="J54" i="3"/>
  <c r="L54" i="3" s="1"/>
  <c r="F55" i="4" s="1"/>
  <c r="G55" i="4" s="1"/>
  <c r="H54" i="3"/>
  <c r="K54" i="3"/>
  <c r="M54" i="3" s="1"/>
  <c r="H53" i="3"/>
  <c r="J53" i="3"/>
  <c r="L53" i="3" s="1"/>
  <c r="F54" i="4" s="1"/>
  <c r="G54" i="4" s="1"/>
  <c r="K53" i="3"/>
  <c r="M53" i="3" s="1"/>
  <c r="J52" i="3"/>
  <c r="L52" i="3" s="1"/>
  <c r="F53" i="4" s="1"/>
  <c r="G53" i="4" s="1"/>
  <c r="K52" i="3"/>
  <c r="M52" i="3" s="1"/>
  <c r="H51" i="3"/>
  <c r="J51" i="3"/>
  <c r="L51" i="3" s="1"/>
  <c r="F52" i="4" s="1"/>
  <c r="G52" i="4" s="1"/>
  <c r="K51" i="3"/>
  <c r="M51" i="3" s="1"/>
  <c r="J49" i="3"/>
  <c r="L49" i="3" s="1"/>
  <c r="F50" i="4" s="1"/>
  <c r="G50" i="4" s="1"/>
  <c r="H49" i="3"/>
  <c r="K49" i="3"/>
  <c r="M49" i="3" s="1"/>
  <c r="H48" i="3"/>
  <c r="J48" i="3"/>
  <c r="L48" i="3" s="1"/>
  <c r="F49" i="4" s="1"/>
  <c r="G49" i="4" s="1"/>
  <c r="K48" i="3"/>
  <c r="M48" i="3" s="1"/>
  <c r="J47" i="3"/>
  <c r="L47" i="3" s="1"/>
  <c r="F48" i="4" s="1"/>
  <c r="G48" i="4" s="1"/>
  <c r="K47" i="3"/>
  <c r="M47" i="3" s="1"/>
  <c r="H46" i="3"/>
  <c r="J46" i="3"/>
  <c r="L46" i="3" s="1"/>
  <c r="F47" i="4" s="1"/>
  <c r="G47" i="4" s="1"/>
  <c r="K46" i="3"/>
  <c r="M46" i="3" s="1"/>
  <c r="J44" i="3"/>
  <c r="L44" i="3" s="1"/>
  <c r="F45" i="4" s="1"/>
  <c r="G45" i="4" s="1"/>
  <c r="H44" i="3"/>
  <c r="K44" i="3"/>
  <c r="M44" i="3" s="1"/>
  <c r="J43" i="3"/>
  <c r="L43" i="3" s="1"/>
  <c r="F44" i="4" s="1"/>
  <c r="G44" i="4" s="1"/>
  <c r="K43" i="3"/>
  <c r="M43" i="3" s="1"/>
  <c r="J42" i="3"/>
  <c r="L42" i="3" s="1"/>
  <c r="F43" i="4" s="1"/>
  <c r="G43" i="4" s="1"/>
  <c r="K42" i="3"/>
  <c r="M42" i="3" s="1"/>
  <c r="K41" i="3"/>
  <c r="M41" i="3" s="1"/>
  <c r="J41" i="3"/>
  <c r="L41" i="3" s="1"/>
  <c r="H41" i="3"/>
  <c r="J39" i="3"/>
  <c r="L39" i="3" s="1"/>
  <c r="F40" i="4" s="1"/>
  <c r="G40" i="4" s="1"/>
  <c r="H39" i="3"/>
  <c r="K39" i="3"/>
  <c r="M39" i="3" s="1"/>
  <c r="J37" i="3"/>
  <c r="L37" i="3" s="1"/>
  <c r="F38" i="4" s="1"/>
  <c r="G38" i="4" s="1"/>
  <c r="K37" i="3"/>
  <c r="M37" i="3" s="1"/>
  <c r="H36" i="3"/>
  <c r="K36" i="3"/>
  <c r="M36" i="3" s="1"/>
  <c r="J36" i="3"/>
  <c r="L36" i="3" s="1"/>
  <c r="F37" i="4" s="1"/>
  <c r="G37" i="4" s="1"/>
  <c r="J34" i="3"/>
  <c r="L34" i="3" s="1"/>
  <c r="F35" i="4" s="1"/>
  <c r="G35" i="4" s="1"/>
  <c r="K34" i="3"/>
  <c r="M34" i="3" s="1"/>
  <c r="H34" i="3"/>
  <c r="J32" i="3"/>
  <c r="L32" i="3" s="1"/>
  <c r="F33" i="4" s="1"/>
  <c r="G33" i="4" s="1"/>
  <c r="K32" i="3"/>
  <c r="M32" i="3" s="1"/>
  <c r="H31" i="3"/>
  <c r="K31" i="3"/>
  <c r="M31" i="3" s="1"/>
  <c r="J31" i="3"/>
  <c r="L31" i="3" s="1"/>
  <c r="F32" i="4" s="1"/>
  <c r="G32" i="4" s="1"/>
  <c r="J29" i="3"/>
  <c r="L29" i="3" s="1"/>
  <c r="F30" i="4" s="1"/>
  <c r="G30" i="4" s="1"/>
  <c r="H29" i="3"/>
  <c r="K29" i="3"/>
  <c r="M29" i="3" s="1"/>
  <c r="H26" i="3"/>
  <c r="J26" i="3"/>
  <c r="L26" i="3" s="1"/>
  <c r="K26" i="3"/>
  <c r="M26" i="3" s="1"/>
  <c r="J24" i="3"/>
  <c r="L24" i="3" s="1"/>
  <c r="F25" i="4" s="1"/>
  <c r="G25" i="4" s="1"/>
  <c r="H24" i="3"/>
  <c r="K24" i="3"/>
  <c r="M24" i="3" s="1"/>
  <c r="J21" i="3"/>
  <c r="L21" i="3" s="1"/>
  <c r="F22" i="4" s="1"/>
  <c r="G22" i="4" s="1"/>
  <c r="H21" i="3"/>
  <c r="K21" i="3"/>
  <c r="M21" i="3" s="1"/>
  <c r="K20" i="3"/>
  <c r="M20" i="3" s="1"/>
  <c r="H20" i="3"/>
  <c r="J20" i="3"/>
  <c r="L20" i="3" s="1"/>
  <c r="F21" i="4" s="1"/>
  <c r="G21" i="4" s="1"/>
  <c r="J19" i="3"/>
  <c r="L19" i="3" s="1"/>
  <c r="F20" i="4" s="1"/>
  <c r="G20" i="4" s="1"/>
  <c r="H19" i="3"/>
  <c r="K19" i="3"/>
  <c r="M19" i="3" s="1"/>
  <c r="K18" i="3"/>
  <c r="M18" i="3" s="1"/>
  <c r="J18" i="3"/>
  <c r="L18" i="3" s="1"/>
  <c r="F19" i="4" s="1"/>
  <c r="G19" i="4" s="1"/>
  <c r="H18" i="3"/>
  <c r="D7" i="8"/>
  <c r="B6" i="8"/>
  <c r="C9" i="8"/>
  <c r="B9" i="8"/>
  <c r="J65" i="3"/>
  <c r="L65" i="3" s="1"/>
  <c r="F66" i="4" s="1"/>
  <c r="G66" i="4" s="1"/>
  <c r="K65" i="3"/>
  <c r="M65" i="3" s="1"/>
  <c r="E7" i="8"/>
  <c r="H58" i="3"/>
  <c r="H65" i="3"/>
  <c r="D10" i="8"/>
  <c r="K23" i="3"/>
  <c r="M23" i="3" s="1"/>
  <c r="J35" i="3"/>
  <c r="L35" i="3" s="1"/>
  <c r="F36" i="4" s="1"/>
  <c r="G36" i="4" s="1"/>
  <c r="K35" i="3"/>
  <c r="M35" i="3" s="1"/>
  <c r="J68" i="3"/>
  <c r="L68" i="3" s="1"/>
  <c r="F69" i="4" s="1"/>
  <c r="G69" i="4" s="1"/>
  <c r="H73" i="3"/>
  <c r="H35" i="3"/>
  <c r="J40" i="3"/>
  <c r="L40" i="3" s="1"/>
  <c r="K40" i="3"/>
  <c r="M40" i="3" s="1"/>
  <c r="J73" i="3"/>
  <c r="L73" i="3" s="1"/>
  <c r="F74" i="4" s="1"/>
  <c r="G74" i="4" s="1"/>
  <c r="H78" i="3"/>
  <c r="J90" i="3"/>
  <c r="L90" i="3" s="1"/>
  <c r="F91" i="4" s="1"/>
  <c r="G91" i="4" s="1"/>
  <c r="K90" i="3"/>
  <c r="M90" i="3" s="1"/>
  <c r="H40" i="3"/>
  <c r="K28" i="3"/>
  <c r="M28" i="3" s="1"/>
  <c r="K78" i="3"/>
  <c r="M78" i="3" s="1"/>
  <c r="J83" i="3"/>
  <c r="L83" i="3" s="1"/>
  <c r="F84" i="4" s="1"/>
  <c r="G84" i="4" s="1"/>
  <c r="H88" i="3"/>
  <c r="J100" i="3"/>
  <c r="L100" i="3" s="1"/>
  <c r="F101" i="4" s="1"/>
  <c r="G101" i="4" s="1"/>
  <c r="K100" i="3"/>
  <c r="M100" i="3" s="1"/>
  <c r="J27" i="3"/>
  <c r="L27" i="3" s="1"/>
  <c r="H27" i="3"/>
  <c r="J70" i="3"/>
  <c r="L70" i="3" s="1"/>
  <c r="F71" i="4" s="1"/>
  <c r="G71" i="4" s="1"/>
  <c r="K70" i="3"/>
  <c r="M70" i="3" s="1"/>
  <c r="C7" i="8"/>
  <c r="J75" i="3"/>
  <c r="L75" i="3" s="1"/>
  <c r="F76" i="4" s="1"/>
  <c r="G76" i="4" s="1"/>
  <c r="K75" i="3"/>
  <c r="M75" i="3" s="1"/>
  <c r="J23" i="3"/>
  <c r="L23" i="3" s="1"/>
  <c r="F24" i="4" s="1"/>
  <c r="G24" i="4" s="1"/>
  <c r="K58" i="3"/>
  <c r="M58" i="3" s="1"/>
  <c r="K63" i="3"/>
  <c r="M63" i="3" s="1"/>
  <c r="J85" i="3"/>
  <c r="L85" i="3" s="1"/>
  <c r="F86" i="4" s="1"/>
  <c r="G86" i="4" s="1"/>
  <c r="K85" i="3"/>
  <c r="M85" i="3" s="1"/>
  <c r="K68" i="3"/>
  <c r="M68" i="3" s="1"/>
  <c r="H85" i="3"/>
  <c r="J28" i="3"/>
  <c r="L28" i="3" s="1"/>
  <c r="F29" i="4" s="1"/>
  <c r="G29" i="4" s="1"/>
  <c r="H83" i="3"/>
  <c r="H90" i="3"/>
  <c r="J33" i="3"/>
  <c r="L33" i="3" s="1"/>
  <c r="F34" i="4" s="1"/>
  <c r="G34" i="4" s="1"/>
  <c r="H38" i="3"/>
  <c r="J50" i="3"/>
  <c r="L50" i="3" s="1"/>
  <c r="K50" i="3"/>
  <c r="M50" i="3" s="1"/>
  <c r="J22" i="3"/>
  <c r="L22" i="3" s="1"/>
  <c r="F23" i="4" s="1"/>
  <c r="G23" i="4" s="1"/>
  <c r="H22" i="3"/>
  <c r="K33" i="3"/>
  <c r="M33" i="3" s="1"/>
  <c r="J38" i="3"/>
  <c r="L38" i="3" s="1"/>
  <c r="H43" i="3"/>
  <c r="H50" i="3"/>
  <c r="J55" i="3"/>
  <c r="L55" i="3" s="1"/>
  <c r="F56" i="4" s="1"/>
  <c r="G56" i="4" s="1"/>
  <c r="K55" i="3"/>
  <c r="M55" i="3" s="1"/>
  <c r="J88" i="3"/>
  <c r="L88" i="3" s="1"/>
  <c r="F89" i="4" s="1"/>
  <c r="G89" i="4" s="1"/>
  <c r="H93" i="3"/>
  <c r="H100" i="3"/>
  <c r="H103" i="3"/>
  <c r="H25" i="3"/>
  <c r="K27" i="3"/>
  <c r="M27" i="3" s="1"/>
  <c r="H63" i="3"/>
  <c r="H70" i="3"/>
  <c r="J25" i="3"/>
  <c r="L25" i="3" s="1"/>
  <c r="F26" i="4" s="1"/>
  <c r="G26" i="4" s="1"/>
  <c r="J30" i="3"/>
  <c r="L30" i="3" s="1"/>
  <c r="K30" i="3"/>
  <c r="M30" i="3" s="1"/>
  <c r="H75" i="3"/>
  <c r="J80" i="3"/>
  <c r="L80" i="3" s="1"/>
  <c r="F81" i="4" s="1"/>
  <c r="G81" i="4" s="1"/>
  <c r="K80" i="3"/>
  <c r="M80" i="3" s="1"/>
  <c r="J45" i="3"/>
  <c r="L45" i="3" s="1"/>
  <c r="K45" i="3"/>
  <c r="M45" i="3" s="1"/>
  <c r="J95" i="3"/>
  <c r="L95" i="3" s="1"/>
  <c r="F96" i="4" s="1"/>
  <c r="G96" i="4" s="1"/>
  <c r="K95" i="3"/>
  <c r="M95" i="3" s="1"/>
  <c r="J105" i="3"/>
  <c r="L105" i="3" s="1"/>
  <c r="F106" i="4" s="1"/>
  <c r="G106" i="4" s="1"/>
  <c r="K105" i="3"/>
  <c r="M105" i="3" s="1"/>
  <c r="J60" i="3"/>
  <c r="L60" i="3" s="1"/>
  <c r="F61" i="4" s="1"/>
  <c r="G61" i="4" s="1"/>
  <c r="K60" i="3"/>
  <c r="M60" i="3" s="1"/>
  <c r="H32" i="3"/>
  <c r="H37" i="3"/>
  <c r="H42" i="3"/>
  <c r="H47" i="3"/>
  <c r="H52" i="3"/>
  <c r="H57" i="3"/>
  <c r="H62" i="3"/>
  <c r="H67" i="3"/>
  <c r="H72" i="3"/>
  <c r="H77" i="3"/>
  <c r="H82" i="3"/>
  <c r="H87" i="3"/>
  <c r="H92" i="3"/>
  <c r="H97" i="3"/>
  <c r="H102" i="3"/>
  <c r="H107" i="3"/>
  <c r="J102" i="3"/>
  <c r="L102" i="3" s="1"/>
  <c r="J107" i="3"/>
  <c r="L107" i="3" s="1"/>
  <c r="F108" i="4" s="1"/>
  <c r="G108" i="4" s="1"/>
  <c r="F62" i="4" l="1"/>
  <c r="G62" i="4" s="1"/>
  <c r="E8" i="5"/>
  <c r="F105" i="4"/>
  <c r="G105" i="4" s="1"/>
  <c r="B7" i="8"/>
  <c r="F7" i="8" s="1"/>
  <c r="F102" i="4"/>
  <c r="G102" i="4" s="1"/>
  <c r="B8" i="5"/>
  <c r="F87" i="4"/>
  <c r="G87" i="4" s="1"/>
  <c r="D8" i="5"/>
  <c r="F85" i="4"/>
  <c r="G85" i="4" s="1"/>
  <c r="B6" i="5"/>
  <c r="E6" i="5"/>
  <c r="D6" i="5"/>
  <c r="D116" i="4"/>
  <c r="C117" i="4"/>
  <c r="C116" i="4"/>
  <c r="F42" i="4"/>
  <c r="G42" i="4" s="1"/>
  <c r="E9" i="8"/>
  <c r="F27" i="4"/>
  <c r="G27" i="4" s="1"/>
  <c r="D9" i="8"/>
  <c r="C118" i="4"/>
  <c r="D117" i="4"/>
  <c r="D118" i="4"/>
  <c r="C6" i="8"/>
  <c r="D8" i="8"/>
  <c r="E8" i="8"/>
  <c r="F41" i="4"/>
  <c r="G41" i="4" s="1"/>
  <c r="E10" i="8"/>
  <c r="F28" i="4"/>
  <c r="G28" i="4" s="1"/>
  <c r="F7" i="5" a="1"/>
  <c r="F7" i="5" s="1"/>
  <c r="F51" i="4"/>
  <c r="G51" i="4" s="1"/>
  <c r="D6" i="8"/>
  <c r="F39" i="4"/>
  <c r="G39" i="4" s="1"/>
  <c r="F31" i="4"/>
  <c r="G31" i="4" s="1"/>
  <c r="B8" i="8"/>
  <c r="F46" i="4"/>
  <c r="G46" i="4" s="1"/>
  <c r="E7" i="5"/>
  <c r="B10" i="8"/>
  <c r="F103" i="4"/>
  <c r="G103" i="4" s="1"/>
  <c r="C5" i="5" a="1"/>
  <c r="C5" i="5" s="1"/>
  <c r="B7" i="5"/>
  <c r="D7" i="5"/>
  <c r="E5" i="5"/>
  <c r="E6" i="8"/>
  <c r="C9" i="5" a="1"/>
  <c r="C9" i="5" s="1"/>
  <c r="C8" i="8"/>
  <c r="C8" i="5" a="1"/>
  <c r="C8" i="5" s="1"/>
  <c r="F6" i="5" a="1"/>
  <c r="F6" i="5" s="1"/>
  <c r="F5" i="5" a="1"/>
  <c r="F5" i="5" s="1"/>
  <c r="A9" i="3"/>
  <c r="C10" i="8"/>
  <c r="E9" i="5"/>
  <c r="D9" i="5"/>
  <c r="B9" i="5"/>
  <c r="C6" i="5" a="1"/>
  <c r="C6" i="5" s="1"/>
  <c r="C7" i="5" a="1"/>
  <c r="C7" i="5" s="1"/>
  <c r="D5" i="5"/>
  <c r="F8" i="5" a="1"/>
  <c r="F8" i="5" s="1"/>
  <c r="F9" i="5" a="1"/>
  <c r="F9" i="5" s="1"/>
  <c r="B5" i="5"/>
  <c r="F10" i="8" l="1"/>
  <c r="D125" i="4"/>
  <c r="C125" i="4"/>
  <c r="D124" i="4"/>
  <c r="C124" i="4"/>
  <c r="D113" i="4"/>
  <c r="C113" i="4"/>
  <c r="D112" i="4"/>
  <c r="C120" i="4"/>
  <c r="D120" i="4"/>
  <c r="D126" i="4"/>
  <c r="C126" i="4"/>
  <c r="F6" i="8"/>
  <c r="F8" i="8"/>
  <c r="F9" i="8"/>
  <c r="D129" i="4"/>
  <c r="C129" i="4"/>
  <c r="C128" i="4"/>
  <c r="D128" i="4"/>
  <c r="D130" i="4"/>
  <c r="C130" i="4"/>
  <c r="C112" i="4"/>
  <c r="D114" i="4"/>
  <c r="C114" i="4"/>
  <c r="D121" i="4"/>
  <c r="C121" i="4"/>
  <c r="C122" i="4"/>
  <c r="D122" i="4"/>
</calcChain>
</file>

<file path=xl/sharedStrings.xml><?xml version="1.0" encoding="utf-8"?>
<sst xmlns="http://schemas.openxmlformats.org/spreadsheetml/2006/main" count="1425" uniqueCount="351">
  <si>
    <t>PROYECTO EVALUADOR 2 — FERRETERIA LOS ROBLES — VERSION 01</t>
  </si>
  <si>
    <t>Excel para Negocios  BCC 1001  IIC-2026  LEAD University</t>
  </si>
  <si>
    <t>VERSION ASIGNADA:</t>
  </si>
  <si>
    <t>01</t>
  </si>
  <si>
    <t>Entrega Excel grupal:</t>
  </si>
  <si>
    <t>Martes 18 de agosto, 2026 — 11:59 am</t>
  </si>
  <si>
    <t>Entrega analisis individual:</t>
  </si>
  <si>
    <t>Martes 18 de agosto, 2026 — 11:59 am (cada integrante sube su propio documento por separado)</t>
  </si>
  <si>
    <t>Defensa oral:</t>
  </si>
  <si>
    <t>Individual — 2 preguntas por estudiante — ver hoja Tips_Defensa</t>
  </si>
  <si>
    <t>Este archivo es UNICO para su trio. Usar datos de otra version constituye fraude academico (nota cero + reporte).</t>
  </si>
  <si>
    <t>INTEGRANTES DEL TRIO</t>
  </si>
  <si>
    <t>Nombre completo / Carne (Integrante 1):</t>
  </si>
  <si>
    <t xml:space="preserve">Santiago Lara </t>
  </si>
  <si>
    <t>Nombre completo / Carne (Integrante 2):</t>
  </si>
  <si>
    <t>Camila Marin</t>
  </si>
  <si>
    <t>Nombre completo / Carne (Integrante 3):</t>
  </si>
  <si>
    <t>Yeremy Marin</t>
  </si>
  <si>
    <t>CONTENIDO DEL ARCHIVO</t>
  </si>
  <si>
    <t>Hoja</t>
  </si>
  <si>
    <t>Que contiene</t>
  </si>
  <si>
    <t>Catalogo_Productos</t>
  </si>
  <si>
    <t>Referencia con 30 productos: codigo, nombre, categoria, precio y costo unitario</t>
  </si>
  <si>
    <t>Reto1_Datos</t>
  </si>
  <si>
    <t>ESPACIOS + BUSCARV: limpiar codigos y completar las 90 transacciones</t>
  </si>
  <si>
    <t>Reto2_Logica</t>
  </si>
  <si>
    <t>SI anidado + SUMAR.SI: clasificar ventas y tabla resumen por sucursal</t>
  </si>
  <si>
    <t>Reto3_Estadisticas</t>
  </si>
  <si>
    <t>Estadisticas descriptivas por sucursal + 4 preguntas de analisis</t>
  </si>
  <si>
    <t>Reto4_TablaDin</t>
  </si>
  <si>
    <t>Tabla dinamica + campo calculado Margen + segmentador + 4 preguntas</t>
  </si>
  <si>
    <t>Reto5_Financiero</t>
  </si>
  <si>
    <t>PAGO + VAN + TIR: credito y evaluacion de dos escenarios de inversion</t>
  </si>
  <si>
    <t>Reto6_Dashboard</t>
  </si>
  <si>
    <t>Graficos estrategicos + 4 preguntas de analisis grupal</t>
  </si>
  <si>
    <t>Analisis_Individual</t>
  </si>
  <si>
    <t>Instrucciones y preguntas del documento individual que entrega cada uno</t>
  </si>
  <si>
    <t>Tips_Defensa</t>
  </si>
  <si>
    <t>Guia con ejemplos para preparar la defensa oral</t>
  </si>
  <si>
    <t>CATALOGO DE PRODUCTOS — FERRETERIA LOS ROBLES</t>
  </si>
  <si>
    <t>Referencia para el BUSCARV del Reto 1. NO modificar esta hoja.</t>
  </si>
  <si>
    <t>Codigo</t>
  </si>
  <si>
    <t>Nombre del Producto</t>
  </si>
  <si>
    <t>Categoria</t>
  </si>
  <si>
    <t>Precio Unit.</t>
  </si>
  <si>
    <t>Costo Unit.</t>
  </si>
  <si>
    <t>CON-001</t>
  </si>
  <si>
    <t>Bloque 15x20x40</t>
  </si>
  <si>
    <t>Construccion</t>
  </si>
  <si>
    <t>CON-002</t>
  </si>
  <si>
    <t>Cemento 50kg</t>
  </si>
  <si>
    <t>CON-003</t>
  </si>
  <si>
    <t>Varilla #3 (6m)</t>
  </si>
  <si>
    <t>CON-004</t>
  </si>
  <si>
    <t>Arena (m3)</t>
  </si>
  <si>
    <t>CON-005</t>
  </si>
  <si>
    <t>Malla electrosoldada</t>
  </si>
  <si>
    <t>CON-006</t>
  </si>
  <si>
    <t>Regla aluminio 2m</t>
  </si>
  <si>
    <t>PIN-001</t>
  </si>
  <si>
    <t>Pintura blanca 4L</t>
  </si>
  <si>
    <t>Pintura</t>
  </si>
  <si>
    <t>PIN-002</t>
  </si>
  <si>
    <t>Sellador acrilico</t>
  </si>
  <si>
    <t>PIN-003</t>
  </si>
  <si>
    <t>Thinner industrial</t>
  </si>
  <si>
    <t>PIN-004</t>
  </si>
  <si>
    <t>Pintura epoxica 1L</t>
  </si>
  <si>
    <t>PIN-005</t>
  </si>
  <si>
    <t>Rodillo de esponja</t>
  </si>
  <si>
    <t>PIN-006</t>
  </si>
  <si>
    <t>Brocha 4 pulgadas</t>
  </si>
  <si>
    <t>HER-001</t>
  </si>
  <si>
    <t>Martillo 500g</t>
  </si>
  <si>
    <t>Herramientas</t>
  </si>
  <si>
    <t>HER-002</t>
  </si>
  <si>
    <t>Destornillador set x6</t>
  </si>
  <si>
    <t>HER-003</t>
  </si>
  <si>
    <t>Sierra circular 7in</t>
  </si>
  <si>
    <t>HER-004</t>
  </si>
  <si>
    <t>Cinta metrica 5m</t>
  </si>
  <si>
    <t>HER-005</t>
  </si>
  <si>
    <t>Taladro percutor</t>
  </si>
  <si>
    <t>HER-006</t>
  </si>
  <si>
    <t>Nivel de burbuja 60cm</t>
  </si>
  <si>
    <t>ELE-001</t>
  </si>
  <si>
    <t>Cable THHN #12 (m)</t>
  </si>
  <si>
    <t>Electricos</t>
  </si>
  <si>
    <t>ELE-002</t>
  </si>
  <si>
    <t>Tomacorriente doble</t>
  </si>
  <si>
    <t>ELE-003</t>
  </si>
  <si>
    <t>Breaker 20A</t>
  </si>
  <si>
    <t>ELE-004</t>
  </si>
  <si>
    <t>Panel 12 circuitos</t>
  </si>
  <si>
    <t>ELE-005</t>
  </si>
  <si>
    <t>Cinta aislante</t>
  </si>
  <si>
    <t>ELE-006</t>
  </si>
  <si>
    <t>Interruptor sencillo</t>
  </si>
  <si>
    <t>PLO-001</t>
  </si>
  <si>
    <t>Tubo PVC 1/2 (6m)</t>
  </si>
  <si>
    <t>Plomeria</t>
  </si>
  <si>
    <t>PLO-002</t>
  </si>
  <si>
    <t>Llave de paso 1/2</t>
  </si>
  <si>
    <t>PLO-003</t>
  </si>
  <si>
    <t>Codo 90 PVC 1/2</t>
  </si>
  <si>
    <t>PLO-004</t>
  </si>
  <si>
    <t>Sellador silicona</t>
  </si>
  <si>
    <t>PLO-005</t>
  </si>
  <si>
    <t>Llave de chorro</t>
  </si>
  <si>
    <t>PLO-006</t>
  </si>
  <si>
    <t>Tee PVC 1/2</t>
  </si>
  <si>
    <t>RETO 1 — LIMPIEZA CON ESPACIOS() Y COMPLETAR CON BUSCARV</t>
  </si>
  <si>
    <t>ENUNCIADO: Las 90 transacciones contienen un problema oculto: algunos codigos de producto en la columna F tienen espacios en blanco al inicio o al final. Esto impide que BUSCARV encuentre el producto en el catalogo. Su tarea: (1) limpiar cada codigo con ESPACIOS(), (2) usar BUSCARV para completar nombre, categoria, precio unitario y costo unitario desde el catalogo, y (3) calcular los totales de venta y costo por fila.</t>
  </si>
  <si>
    <t>PREGUNTAS DEL RETO 1</t>
  </si>
  <si>
    <t>R1-P1: Una vez completada la tabla, cuantas transacciones corresponden a la sucursal Central? Use una funcion de conteo al pie de la tabla para respaldar su respuesta.</t>
  </si>
  <si>
    <t>R1-P2: Cual es el total general de ventas (suma de la columna Total Venta) de las 90 transacciones de su version?</t>
  </si>
  <si>
    <t>R1-P3: Por que es imprescindible aplicar ESPACIOS() antes del BUSCARV? Que mensaje de error aparece en Excel si no se limpian los codigos y por que ocurre?</t>
  </si>
  <si>
    <t>La funcion ESPACIOS (TRIM) es imprescindible porque BUSCARV (VLOOKUP) con el cuarto argumento en 0 exige una coincidencia EXACTA entre el valor buscado y el valor del catalogo. Un codigo como " CON-001" (con un espacio en blanco al inicio) no es identico, caracter por caracter, al "CON-001" que existe en la columna A del catalogo, aunque visualmente parezcan iguales. Si no se limpia el codigo primero, BUSCARV no encuentra ninguna coincidencia y Excel devuelve el error #N/A ("valor no disponible"), lo que a su vez rompe las columnas de Nombre, Precio y Costo y los totales calculados a partir de ellas. Al envolver la referencia en ESPACIOS() antes de buscarla, se eliminan los espacios sobrantes al inicio y al final del texto y el codigo queda identico al del catalogo, por lo que BUSCARV encuentra la fila correcta.</t>
  </si>
  <si>
    <t>COMO USAR ESPACIOS(): Identifique la columna del codigo original. La funcion ESPACIOS(texto) elimina espacios en blanco al inicio y al final de una cadena. Sintaxis: =ESPACIOS(referencia_de_celda). Apliquela en cada fila de la columna "Cod. Limpio" apuntando al codigo original correspondiente.
COMO USAR BUSCARV(): Una vez que tiene el codigo limpio, use BUSCARV para recuperar datos del catalogo. Sintaxis completa: =BUSCARV(valor_a_buscar, rango_de_la_tabla, numero_de_columna, 0). El 0 al final garantiza coincidencia exacta. El catalogo esta en otra hoja — use el nombre de hoja seguido de ! para referenciarlo. El numero de columna cambia segun lo que busque: nombre del producto es la columna 2, categoria es la 3, precio es la 4 y costo es la 5 del catalogo.
TOTALES: Los totales de venta y costo se calculan multiplicando las unidades por el precio o costo unitario respectivamente. Bloquee con $ las referencias al catalogo para poder arrastrar la formula hacia abajo.</t>
  </si>
  <si>
    <t>#</t>
  </si>
  <si>
    <t>Mes</t>
  </si>
  <si>
    <t>Trim</t>
  </si>
  <si>
    <t>Sucursal</t>
  </si>
  <si>
    <t>Vendedor</t>
  </si>
  <si>
    <t>Cod. Original</t>
  </si>
  <si>
    <t>Cod. Limpio</t>
  </si>
  <si>
    <t>Nombre Producto</t>
  </si>
  <si>
    <t>Unidades</t>
  </si>
  <si>
    <t>Total Venta</t>
  </si>
  <si>
    <t>Total Costo</t>
  </si>
  <si>
    <t>Enero</t>
  </si>
  <si>
    <t>T1</t>
  </si>
  <si>
    <t>Central</t>
  </si>
  <si>
    <t>Juan Mora</t>
  </si>
  <si>
    <t xml:space="preserve"> CON-001</t>
  </si>
  <si>
    <t>Febrero</t>
  </si>
  <si>
    <t>Cartago</t>
  </si>
  <si>
    <t>Luis Brenes</t>
  </si>
  <si>
    <t>Marzo</t>
  </si>
  <si>
    <t>Heredia</t>
  </si>
  <si>
    <t>Fabiola Rios</t>
  </si>
  <si>
    <t>Abril</t>
  </si>
  <si>
    <t>T2</t>
  </si>
  <si>
    <t>Alajuela</t>
  </si>
  <si>
    <t>Rosa Mendez</t>
  </si>
  <si>
    <t xml:space="preserve"> ELE-004</t>
  </si>
  <si>
    <t>Mayo</t>
  </si>
  <si>
    <t>Liberia</t>
  </si>
  <si>
    <t>Andres Mora</t>
  </si>
  <si>
    <t>Junio</t>
  </si>
  <si>
    <t>Ana Vargas</t>
  </si>
  <si>
    <t>Julio</t>
  </si>
  <si>
    <t>T3</t>
  </si>
  <si>
    <t>Maria Jimenez</t>
  </si>
  <si>
    <t xml:space="preserve"> PIN-001</t>
  </si>
  <si>
    <t>Agosto</t>
  </si>
  <si>
    <t>Pedro Quesada</t>
  </si>
  <si>
    <t xml:space="preserve">HER-002 </t>
  </si>
  <si>
    <t>Septiembre</t>
  </si>
  <si>
    <t>Patricia Salas</t>
  </si>
  <si>
    <t>Octubre</t>
  </si>
  <si>
    <t>T4</t>
  </si>
  <si>
    <t>Karina Solis</t>
  </si>
  <si>
    <t xml:space="preserve"> PLO-004</t>
  </si>
  <si>
    <t>Noviembre</t>
  </si>
  <si>
    <t>Carlos Solano</t>
  </si>
  <si>
    <t>Diciembre</t>
  </si>
  <si>
    <t>Sandra Vega</t>
  </si>
  <si>
    <t>Diana Castro</t>
  </si>
  <si>
    <t xml:space="preserve"> HER-001</t>
  </si>
  <si>
    <t>Fabio Ulate</t>
  </si>
  <si>
    <t xml:space="preserve">PLO-003 </t>
  </si>
  <si>
    <t>Rita Ulate</t>
  </si>
  <si>
    <t xml:space="preserve"> CON-004</t>
  </si>
  <si>
    <t xml:space="preserve"> ELE-001</t>
  </si>
  <si>
    <t xml:space="preserve"> PIN-004</t>
  </si>
  <si>
    <t xml:space="preserve"> PLO-001</t>
  </si>
  <si>
    <t xml:space="preserve"> HER-004</t>
  </si>
  <si>
    <t xml:space="preserve">ELE-005 </t>
  </si>
  <si>
    <t xml:space="preserve">CON-006 </t>
  </si>
  <si>
    <t xml:space="preserve">PLO-002 </t>
  </si>
  <si>
    <t xml:space="preserve">PIN-003 </t>
  </si>
  <si>
    <t xml:space="preserve">CON-005 </t>
  </si>
  <si>
    <t xml:space="preserve">HER-006 </t>
  </si>
  <si>
    <t>RETO 2 — LOGICA CONDICIONAL: SI ANIDADO + SUMAR.SI.CONJUNTO + CONTAR.SI.CONJUNTO</t>
  </si>
  <si>
    <t>ENUNCIADO: Usando los totales de venta del Reto 1, clasifique cada transaccion: Premium (&gt;= 500,000), Regular (200,000 a 499,999) o Basico (&lt; 200,000). Luego construya una tabla resumen que muestre cuanto vende y cuantas transacciones tiene cada clasificacion por sucursal.</t>
  </si>
  <si>
    <t>PREGUNTAS DEL RETO 2</t>
  </si>
  <si>
    <t>R2-P1: Cuantas transacciones Premium tiene su version en total? Que porcentaje del total representan?</t>
  </si>
  <si>
    <t>R2-P2: Cual sucursal concentra mas transacciones Basico? Proponga una hipotesis que explique por que podria estar ocurriendo eso.</t>
  </si>
  <si>
    <t>R2-P3: Si la empresa quisiera mover transacciones de la categoria Basico a Regular, que estrategia operativa recomendaria?</t>
  </si>
  <si>
    <t>Para mover transacciones de Basico a Regular, la empresa podria implementar una estrategia de venta cruzada y empaques combinados (bundles) que incentiven al cliente a completar un monto minimo de compra, por ejemplo ofreciendo un descuento por volumen a partir de 200,000 colones. Tambien podria capacitar al equipo de ventas en tecnicas de upselling, sugiriendo productos complementarios al momento del cobro en las sucursales donde predominan las compras pequenas, como Liberia y Alajuela.</t>
  </si>
  <si>
    <t>COMO USAR SI ANIDADO: La funcion SI evalua una condicion y devuelve un valor si es verdadero y otro si es falso. Cuando necesita mas de dos categorias, anida una funcion SI dentro del argumento falso del SI anterior. Estructura general: =SI(condicion1, resultado1, SI(condicion2, resultado2, resultado_por_defecto)). El orden de las condiciones importa: empiece siempre por el umbral mas alto hacia el mas bajo.
COMO USAR SUMAR.SI.CONJUNTO(): Suma celdas que cumplen multiples criterios simultaneamente. Sintaxis: =SUMAR.SI.CONJUNTO(rango_a_sumar, rango_criterio1, criterio1, rango_criterio2, criterio2). Para esta tabla necesita filtrar por sucursal Y por clasificacion al mismo tiempo. Use referencias absolutas ($) en los rangos para poder copiar la formula a las otras filas sin que se desplace.
COMO USAR CONTAR.SI.CONJUNTO(): Igual que SUMAR.SI.CONJUNTO pero cuenta filas en lugar de sumar valores. Sintaxis: =CONTAR.SI.CONJUNTO(rango_criterio1, criterio1, rango_criterio2, criterio2).</t>
  </si>
  <si>
    <t>PARTE A — CLASIFICACION (SI ANIDADO)</t>
  </si>
  <si>
    <t>Clasificacion</t>
  </si>
  <si>
    <t>PARTE B — TABLA RESUMEN POR SUCURSAL</t>
  </si>
  <si>
    <t>Total Ventas</t>
  </si>
  <si>
    <t>N Transacciones</t>
  </si>
  <si>
    <t>Premium</t>
  </si>
  <si>
    <t>Regular</t>
  </si>
  <si>
    <t>Basico</t>
  </si>
  <si>
    <t>RETO 3 — ESTADISTICAS DESCRIPTIVAS POR SUCURSAL</t>
  </si>
  <si>
    <t>ENUNCIADO: Calcule las estadisticas descriptivas de las ventas totales por transaccion, agrupadas por sucursal. Estas estadisticas le permitiran comparar el desempeno de las cinco sucursales e identificar patrones relevantes para la toma de decisiones.</t>
  </si>
  <si>
    <t>PROMEDIO</t>
  </si>
  <si>
    <t>MEDIANA</t>
  </si>
  <si>
    <t>MAXIMO</t>
  </si>
  <si>
    <t>MINIMO</t>
  </si>
  <si>
    <t>DESV. EST.</t>
  </si>
  <si>
    <t>N TRANS.</t>
  </si>
  <si>
    <t>COMO CALCULAR ESTADISTICAS POR GRUPO: En Excel existen dos enfoques. Opcion A (mas sencilla en Excel 365): use las variantes .SI.CONJUNTO de las funciones estadisticas. Por ejemplo, PROMEDIO.SI.CONJUNTO(rango_de_valores, rango_de_criterio, valor_del_criterio) promedia solo las filas donde el criterio coincide. Opcion B (Excel 2016): use formulas matriciales — ingrese =PROMEDIO(SI(rango_sucursal=criterio, rango_valores)) y confirme con Ctrl+Shift+Enter en lugar de solo Enter.
LAS SEIS FUNCIONES REQUERIDAS: PROMEDIO (media aritmetica), MEDIANA (valor central al ordenar), MAX (mayor valor), MIN (menor valor), DESVEST (variabilidad), CONTAR (cantidad de filas). Cada una acepta un rango como argumento. La clave es que ese rango filtre solo las filas de la sucursal correcta.
INTERPRETACION: La desviacion estandar mide que tan dispersas estan las ventas alrededor del promedio. Una desviacion alta significa que hay transacciones muy grandes junto a transacciones muy pequeñas.</t>
  </si>
  <si>
    <t>PREGUNTAS DE ANALISIS DEL RETO 3</t>
  </si>
  <si>
    <t>R3-P1: Cual sucursal tiene el promedio mas alto? Cual el mas bajo? Que diferencia hay entre ambas en terminos absolutos y porcentuales?</t>
  </si>
  <si>
    <t>R3-P2: Encuentre una sucursal donde la mediana sea notablemente diferente al promedio. Que le indica esa diferencia sobre la distribucion de las ventas en esa sucursal?</t>
  </si>
  <si>
    <t>Heredia es la sucursal donde la mediana (198,000) es notablemente mas baja que el promedio (622,450). Esa diferencia tan marcada indica que la distribucion de ventas de Heredia esta sesgada hacia la derecha: existen unas pocas transacciones muy grandes (el maximo llega a 2,860,000) que arrastran el promedio hacia arriba, mientras que la mitad de sus transacciones son de 198,000 colones o menos. En otras palabras, el desempeno de Heredia depende de pocas ventas excepcionalmente grandes y no de un flujo uniforme de ventas medianas.</t>
  </si>
  <si>
    <t>R3-P3: Cual sucursal tiene la desviacion estandar mas alta? Que significa eso para la predictibilidad de sus ventas mes a mes?</t>
  </si>
  <si>
    <t>R3-P4: Con base en estas estadisticas, cual sucursal elegiria para un piloto de programa de incentivos de ventas? Justifique con al menos dos indicadores numericos.</t>
  </si>
  <si>
    <t>RETO 4 — TABLA DINAMICA CON CAMPO CALCULADO Y SEGMENTADOR</t>
  </si>
  <si>
    <t>ENUNCIADO: Con los datos de esta hoja construya una tabla dinamica que cruce sucursal (filas) con categoria (columnas) mostrando la suma de ventas. Agregue un campo calculado llamado Margen = (Total Venta - Total Costo) / Total Venta y un segmentador por Trimestre.</t>
  </si>
  <si>
    <t>PASOS PARA CREAR LA TABLA DINAMICA:
Paso 1 — Seleccione todo el rango de datos de esta hoja incluyendo los encabezados.
Paso 2 — Vaya a Insertar &gt; Tabla dinamica. En el cuadro de dialogo, elija "Hoja de calculo existente" y haga clic en la celda donde quiere ubicarla (por ejemplo M1 de esta misma hoja).
Paso 3 — En el panel de campos: arrastre Sucursal a Filas, Categoria a Columnas, y Total Venta a Valores. Verifique que el campo de valores diga "Suma de Total Venta" (no promedio ni conteo).
Paso 4 — Para el campo calculado: en la cinta superior, con la tabla dinamica seleccionada, vaya a Analisis &gt; Campos, elementos y conjuntos &gt; Campo calculado. Escriba el nombre "Margen" y en la formula ingrese los nombres de campo tal como aparecen en la lista inferior del cuadro de dialogo. La formula calcula la diferencia entre venta y costo dividida entre la venta total. Aplique formato de porcentaje.
Paso 5 — Para el segmentador: Analisis &gt; Insertar segmentador &gt; seleccione Trimestre. Al hacer clic en T1, T2, T3 o T4, la tabla filtrara automaticamente.</t>
  </si>
  <si>
    <t>PREGUNTAS DEL RETO 4</t>
  </si>
  <si>
    <t>R4-P1: Cual categoria genera el mayor volumen de ventas en colones? Cual el menor? Cuantas veces mayor es la primera respecto a la segunda?</t>
  </si>
  <si>
    <t>La categoria que genera el mayor volumen de ventas en colones es Herramientas, con 11,357,109 colones, mientras que la de menor volumen es Plomeria, con 1,230,944 colones. Herramientas vende aproximadamente 9.2 veces mas que Plomeria en este periodo.</t>
  </si>
  <si>
    <t>R4-P2: Cual sucursal tiene el margen mas alto segun el campo calculado? Y el mas bajo? Que diferencia de puntos porcentuales hay entre ambas?</t>
  </si>
  <si>
    <t>R4-P3: Al filtrar con el segmentador solo el trimestre T3, que sucursal o categoria se destaca de forma distinta a lo que muestra el total anual?</t>
  </si>
  <si>
    <t>Al filtrar el segmentador solo en el trimestre T3, Cartago pasa a ser la sucursal (y Pintura la categoria) con mayor venta, con 1,415,217 colones, superando a Heredia (1,044,500), que es la que domina el acumulado anual. Esto muestra que el liderazgo de Heredia en el total anual no es constante en todos los trimestres: en T3 su desempeno cae de forma marcada mientras que Cartago tiene su mejor trimestre.</t>
  </si>
  <si>
    <t>R4-P4: Considerando tanto el volumen de ventas como el margen, que combinacion sucursal-categoria recomendaria priorizar para maximizar la rentabilidad? Argumente con numeros concretos.</t>
  </si>
  <si>
    <t>RETO 5 — ANALISIS FINANCIERO: PAGO, VAN Y TIR</t>
  </si>
  <si>
    <t>ENUNCIADO: La gerencia de Ferreteria Los Robles evalua dos decisiones financieras: (A) un credito para ampliar la bodega central y (B) un proyecto de inversion en vehiculos de reparto propio. Use PAGO, VAN y TIR para analizar la viabilidad de cada decision y emitir una recomendacion justificada.</t>
  </si>
  <si>
    <t>PARTE A — CREDITO PARA EXPANSION DE BODEGA</t>
  </si>
  <si>
    <t>Monto del credito (colones)</t>
  </si>
  <si>
    <t>Tasa de interes mensual</t>
  </si>
  <si>
    <t>Plazo (meses)</t>
  </si>
  <si>
    <t>R5-P1: Calcule la cuota mensual con PAGO. Cuanto paga el negocio cada mes por este credito?</t>
  </si>
  <si>
    <t>Cuota mensual =</t>
  </si>
  <si>
    <t>R5-P2: El flujo de caja mensual disponible de la empresa es de 650,000 colones. Puede asumir esta cuota? Cuanto queda libre despues de pagarla? Calcule tambien el total pagado en los 48 meses.</t>
  </si>
  <si>
    <t>Con una cuota mensual de 550,551 colones y un flujo de caja disponible de 650,000 colones, la empresa si puede asumir el credito: le quedarian 99,449 colones libres cada mes despues de pagar la cuota, un margen de maniobra de apenas 15.3% sobre el flujo disponible, por lo que conviene monitorear de cerca cualquier caida en las ventas. En total, a lo largo de los 48 meses el negocio pagaria 26,426,450 colones, es decir 6,426,450 colones mas que el monto original del prestamo, que corresponden al costo financiero (intereses) del credito.</t>
  </si>
  <si>
    <t>PARTE B — PROYECTO DE INVERSION: VEHICULOS DE REPARTO (VAN y TIR)</t>
  </si>
  <si>
    <t>COMO USAR VNA(): Calcula el Valor Actual Neto de una serie de flujos futuros. Sintaxis: =VNA(tasa, rango_de_flujos_futuros). Importante: VNA NO incluye la inversion inicial — esta debe sumarse por separado porque ocurre en el periodo 0. La formula completa es: =VNA(tasa_descuento, flujos_futuros) + inversion_inicial. Si la inversion esta con signo negativo en una celda, sumela directamente.
COMO USAR TIR(): Calcula la tasa interna de retorno a partir de una serie de flujos que incluye la inversion inicial con signo negativo. Sintaxis: =TIR(rango_completo_de_flujos). El primer valor del rango debe ser la inversion inicial (negativo) seguida de los flujos positivos de cada periodo.
INTERPRETACION: Si el VAN es positivo, el proyecto genera valor por encima de la tasa de descuento exigida. La TIR es la tasa a la que el proyecto exactamente recupera la inversion — si TIR &gt; tasa de descuento, el proyecto es viable.</t>
  </si>
  <si>
    <t>Tasa de descuento anual</t>
  </si>
  <si>
    <t>Escenario Conservador</t>
  </si>
  <si>
    <t>Escenario Optimista</t>
  </si>
  <si>
    <t>Inversion inicial (negativa):</t>
  </si>
  <si>
    <t>Flujo Anio 1:</t>
  </si>
  <si>
    <t>Flujo Anio 2:</t>
  </si>
  <si>
    <t>Flujo Anio 3:</t>
  </si>
  <si>
    <t>Flujo Anio 4:</t>
  </si>
  <si>
    <t>Flujo Anio 5:</t>
  </si>
  <si>
    <t>VAN del proyecto:</t>
  </si>
  <si>
    <t>TIR del proyecto:</t>
  </si>
  <si>
    <t>R5-P3: En cual de los dos escenarios es viable la inversion? Como lo determina usando el VAN y la TIR? Que sucede si el VAN es negativo — significa que el proyecto pierde dinero o que no alcanza la rentabilidad esperada?</t>
  </si>
  <si>
    <t>El proyecto solo es viable en el escenario optimista. En el escenario conservador el VAN es negativo (-907,448 colones) y la TIR (9.90%) queda por debajo de la tasa de descuento exigida del 14%, lo que significa que los flujos proyectados no alcanzan a cubrir el costo del dinero en el tiempo: el proyecto destruye valor en ese escenario. En el escenario optimista el VAN es positivo (2,249,405 colones) y la TIR (23.78%) supera ampliamente el 14% exigido, por lo que si conviene invertir. Un VAN negativo no significa necesariamente que el proyecto pierda dinero en terminos contables, sino que no alcanza a rendir lo minimo que la empresa exige (la tasa de descuento) despues de considerar el valor del dinero en el tiempo.</t>
  </si>
  <si>
    <t>R5-P4: Si la tasa mensual del credito de la Parte A subiera al 1.8%, cuanto cambiaria la cuota? Calcule la diferencia en colones y en porcentaje. Es un cambio significativo para el negocio?</t>
  </si>
  <si>
    <t>RETO 6 — DASHBOARD EJECUTIVO Y ANALISIS GRUPAL</t>
  </si>
  <si>
    <t>ENUNCIADO: Construya dos graficos estrategicos con los datos pre-calculados de esta hoja y responda las cuatro preguntas de analisis. Nota: el analisis escrito INDIVIDUAL es un documento separado — ver hoja Analisis_Individual.</t>
  </si>
  <si>
    <t>TOTAL</t>
  </si>
  <si>
    <t>Margen (%)</t>
  </si>
  <si>
    <t>COMO CALCULAR LA TABLA 1 (ventas por sucursal y trimestre): Use SUMAR.SI.CONJUNTO apuntando a los datos del Reto 1. Necesita dos criterios: que la sucursal coincida con la fila y que el trimestre coincida con la columna. Bloquee con $ los rangos de datos para poder copiar la formula en toda la tabla.
COMO CALCULAR LA TABLA 2 (margen por categoria): Para Total Venta y Total Costo, use SUMAR.SI filtrando por categoria. El margen se calcula como (Total Venta - Total Costo) / Total Venta. El resultado expresa que porcentaje de cada colon vendido es ganancia bruta.
COMO CREAR LOS GRAFICOS: Seleccione los datos de la tabla correspondiente (incluyendo encabezados). Insertar &gt; Grafico recomendado o elija el tipo directamente. Haga clic derecho sobre el grafico para editar titulo, etiquetas de ejes y formato. Asegurese de que el eje Y del grafico de margen muestre formato de porcentaje.</t>
  </si>
  <si>
    <t>GRAFICOS REQUERIDOS: (1) Barras agrupadas con Tabla 1: comparar ventas por sucursal entre trimestres. (2) Columnas o linea con Tabla 2: margen % por categoria. Inserte ambos en esta hoja con titulo, etiquetas de ejes y formato profesional.</t>
  </si>
  <si>
    <t>PREGUNTAS DE ANALISIS GRUPAL</t>
  </si>
  <si>
    <t>R6-P1 GRUPAL: Cual sucursal tuvo el mayor volumen total de ventas? En que trimestre fue su mejor desempeno? Que elementos del dataset podrian explicar ese resultado?</t>
  </si>
  <si>
    <t>Heredia tuvo el mayor volumen total de ventas, con 11,204,100 colones acumulados en el ano. Su mejor trimestre fue T1, con 4,207,000 colones. Como en esta version cada sucursal se especializa en una sola categoria de producto, el resultado de Heredia se explica porque concentra las ventas de Herramientas, la categoria de mayor valor unitario del catalogo (hasta 65,000 colones por unidad en el caso del taladro percutor), lo que hace que sus transacciones individuales sean mucho mas grandes que las de las demas sucursales.</t>
  </si>
  <si>
    <t>R6-P2 GRUPAL: Analizando la evolucion T1 a T4 en la Tabla 1, que tendencia general observa? Hubo crecimiento sostenido, caida o comportamiento irregular? Que deberia anticipar la empresa para el proximo ciclo?</t>
  </si>
  <si>
    <t>R6-P3 GRUPAL: Segun la Tabla 2, cual categoria tiene el margen mas alto? Que estrategia concreta recomendaria para aprovechar ese margen en terminos de inventario o fuerza de ventas?</t>
  </si>
  <si>
    <t>R6-P4 GRUPAL: Si la empresa tuviera que cerrar la sucursal o descontinuar la categoria de menor desempeno, cual elegiria y por que? Sustente con datos de al menos dos retos diferentes.</t>
  </si>
  <si>
    <t>RECORDATORIO: Las respuestas anteriores son del trio. El analisis escrito INDIVIDUAL tiene sus propias 4 preguntas en la hoja Analisis_Individual y se entrega como documento separado.</t>
  </si>
  <si>
    <t>ANALISIS ESCRITO INDIVIDUAL — INSTRUCCIONES Y PREGUNTAS</t>
  </si>
  <si>
    <t>Esta hoja contiene las instrucciones del DOCUMENTO INDIVIDUAL que entrega CADA estudiante por separado. No va dentro del Excel — es un archivo .docx o .pdf independiente con sus propias respuestas.</t>
  </si>
  <si>
    <t>CARACTERISTICAS DEL DOCUMENTO INDIVIDUAL</t>
  </si>
  <si>
    <t xml:space="preserve">  1. Cada integrante redacta y entrega su propio documento — no se permite copiar entre companeros del mismo trio.</t>
  </si>
  <si>
    <t xml:space="preserve">  2. El sistema detecta similitudes automaticamente. Analisis iguales o muy parecidos = penalizacion del 50% en este componente.</t>
  </si>
  <si>
    <t xml:space="preserve">  3. Peso en la nota: 35% del total del PE2. Es el componente de mayor peso individual.</t>
  </si>
  <si>
    <t xml:space="preserve">  4. Extension: entre 600 y 900 palabras de analisis real (sin contar encabezados, nombre ni listas).</t>
  </si>
  <si>
    <t xml:space="preserve">  5. Redaccion: prosa completa en primera persona, sin bullet points. Lenguaje profesional y tecnico.</t>
  </si>
  <si>
    <t>FORMATO Y ENTREGA</t>
  </si>
  <si>
    <t>Encabezado obligatorio:</t>
  </si>
  <si>
    <t>Nombre completo | Carne | Version: XX | Nombre del trio | Curso: BCC 1001 IIC-2026</t>
  </si>
  <si>
    <t>Nombre del archivo:</t>
  </si>
  <si>
    <t>PE2_Analisis_VersionXX_Apellido_Nombre.docx (reemplazar XX con su numero de version)</t>
  </si>
  <si>
    <t>Donde entregarlo:</t>
  </si>
  <si>
    <t>Campus virtual &gt; Aula BCC 1001 &gt; Actividades &gt; Entrega PE2 - Analisis Individual</t>
  </si>
  <si>
    <t>Fecha limite:</t>
  </si>
  <si>
    <t>Formato de redaccion:</t>
  </si>
  <si>
    <t>Texto corrido, primera persona, sin listas de bullet points — respuestas en parrafos completos</t>
  </si>
  <si>
    <t>LAS 4 PREGUNTAS DEL ANALISIS INDIVIDUAL</t>
  </si>
  <si>
    <t>Responda las 4 preguntas a continuacion en su documento individual. Sus respuestas deben basarse en los datos concretos de SU VERSION — no en generalidades. Incluya numeros y porcentajes especificos.</t>
  </si>
  <si>
    <t>AI-P1 — DESEMPENO COMPARATIVO DE SUCURSALES</t>
  </si>
  <si>
    <t>Analizando los resultados del Reto 3 y el Reto 4 de su version: cual sucursal tuvo el mejor desempeno global considerando tanto el volumen de ventas como el margen de ganancia? Presente los numeros que respaldan su conclusion y explique que factores podrian estar detras de ese resultado.</t>
  </si>
  <si>
    <t>Borrador / notas personales (no es el entregable):</t>
  </si>
  <si>
    <t>AI-P2 — TENDENCIA TEMPORAL Y ESTACIONALIDAD</t>
  </si>
  <si>
    <t>Con base en la Tabla 1 del Reto 6 (ventas por sucursal y trimestre): describa la tendencia general de ventas de T1 a T4 en su version. Identifique si hay alguna sucursal o periodo que rompe el patron general. Que deberia anticipar la empresa para prepararse en el proximo ciclo anual?</t>
  </si>
  <si>
    <t>AI-P3 — RENTABILIDAD Y DECISION ESTRATEGICA</t>
  </si>
  <si>
    <t>Usando los datos del margen por categoria (Reto 6, Tabla 2) y la clasificacion del Reto 2: cual es la categoria mas rentable en su version y cual es la de menor margen? Proponga una accion estrategica concreta y cuantificable que la gerencia podria implementar en los proximos 3 meses.</t>
  </si>
  <si>
    <t>AI-P4 — REFLEXION SOBRE LAS HERRAMIENTAS</t>
  </si>
  <si>
    <t>De las seis herramientas aplicadas en este proyecto (BUSCARV, SI anidado, estadisticas, tabla dinamica, funciones financieras y graficos): cual considera que aporto mayor valor para la toma de decisiones en este caso especifico? Explique con un ejemplo concreto tomado de su propio analisis por que esa herramienta fue determinante.</t>
  </si>
  <si>
    <t>IMPORTANTE: Use este espacio solo como borrador. El entregable real es un documento .docx o .pdf con prosa continua, encabezado correcto y redaccion profesional en primera persona.</t>
  </si>
  <si>
    <t>GUIA DE PREPARACION PARA LA DEFENSA ORAL</t>
  </si>
  <si>
    <t>La defensa es INDIVIDUAL. El evaluador le hara 2 preguntas sobre su propio trabajo. Duracion: aprox. 5 minutos por persona. Sin computadora, celular ni notas. Esta guia tiene ejemplos reales del tipo de preguntas y como responderlas bien.</t>
  </si>
  <si>
    <t>BLOQUE 1 — FORMULAS Y FUNCIONES: EJEMPLOS DE PREGUNTAS Y COMO RESPONDERLAS</t>
  </si>
  <si>
    <t>Ejemplo de pregunta: 'Explique que hace ESPACIOS() y por que fue necesaria en el Reto 1.'</t>
  </si>
  <si>
    <t>Respuesta solida: 'ESPACIOS elimina los espacios en blanco al inicio y al final de una cadena de texto. En el Reto 1 la usamos porque algunos codigos de producto tenian un espacio extra que impedia que BUSCARV los encontrara en el catalogo — devolviendo error #N/A. Al limpiarlos con ESPACIOS primero, el BUSCARV funciona correctamente.'</t>
  </si>
  <si>
    <t>Ejemplo de pregunta: 'Cuales son los 4 argumentos del BUSCARV y que hace cada uno?'</t>
  </si>
  <si>
    <t>Respuesta solida: 'El primer argumento es el valor que busca — en nuestro caso el codigo limpio. El segundo es el rango de la tabla donde busca, que es el catalogo de productos. El tercero es el numero de columna del catalogo que quiero obtener: 2 para el nombre, 4 para el precio. El cuarto es 0, que significa coincidencia exacta y es el que usamos siempre cuando los datos son texto o codigos.'</t>
  </si>
  <si>
    <t>Ejemplo de pregunta: 'Por que en el SI anidado del Reto 2 empezo por 500,000 y no por 200,000?'</t>
  </si>
  <si>
    <t>Respuesta solida: 'Porque Excel evalua las condiciones en orden. Si hubiera puesto primero el umbral de 200,000, cualquier venta de 500,000 o mas tambien cumpliria esa condicion y quedaria clasificada como Regular antes de llegar a evaluarse como Premium. Al empezar por el umbral mas alto, garantizamos que solo caigan en Premium las que realmente superan los 500,000.'</t>
  </si>
  <si>
    <t>Ejemplo de pregunta: 'En PAGO, por que el monto del prestamo va con signo negativo?'</t>
  </si>
  <si>
    <t>BLOQUE 2 — INTERPRETACION DE RESULTADOS: EJEMPLOS CON NUMEROS HIPOTETICOS</t>
  </si>
  <si>
    <t>Ejemplo de pregunta: 'Su VAN fue positivo en el escenario conservador — que significa eso exactamente?'</t>
  </si>
  <si>
    <t>Respuesta solida: 'Significa que el proyecto genera mas valor del que cuesta a la tasa de descuento que usamos del 14% anual. Por ejemplo, si el VAN fue de 1,200,000 colones, quiere decir que despues de recuperar la inversion y cubrir el costo del dinero en el tiempo, el proyecto genera 1,200,000 adicionales en valor presente. Un VAN positivo no significa que no haya riesgo, pero si que a esa tasa de descuento conviene invertir.'</t>
  </si>
  <si>
    <t>Ejemplo de pregunta: 'En el Reto 3, la sucursal Heredia tiene un promedio de 480,000 pero una mediana de 210,000. Que le dice eso?'</t>
  </si>
  <si>
    <t>Respuesta solida: 'Me dice que la distribucion esta sesgada hacia la derecha — hay algunas transacciones muy grandes que jalan el promedio hacia arriba, pero la mitad de las ventas son de 210,000 o menos. Eso significa que el negocio no es uniforme: depende de pocas ventas grandes para sostener su promedio. La mediana es un indicador mas representativo de la venta tipica en ese caso.'</t>
  </si>
  <si>
    <t>Ejemplo de pregunta: 'En la tabla dinamica, la categoria Herramientas tiene mayor margen que Construccion. Que recomendacion haria?'</t>
  </si>
  <si>
    <t>Respuesta solida: 'Si el margen de Herramientas es, por ejemplo, 42% frente al 38% de Construccion, la recomendacion seria aumentar el inventario disponible de Herramientas y asignar mas espacio en gondola o en la web. Sin embargo, hay que evaluar tambien el volumen: si Construccion vende tres veces mas, un margen menor sobre un volumen mucho mayor puede generar mas ganancia absoluta. La decision optima cruza margen con volumen.'</t>
  </si>
  <si>
    <t>Ejemplo de pregunta: 'La TIR del escenario optimista fue 28% y la tasa de descuento es 14%. Conviene o no?'</t>
  </si>
  <si>
    <t>Respuesta solida: 'Si conviene, porque la TIR de 28% supera la tasa de descuento de 14%. Eso significa que el proyecto rinde mas que lo que cuesta el dinero en el tiempo. La regla es: si TIR &gt; tasa de descuento, el proyecto es viable. En este caso hay un margen de 14 puntos porcentuales de holgura, lo que hace al proyecto atractivo incluso si los flujos reales son algo menores a lo proyectado.'</t>
  </si>
  <si>
    <t>BLOQUE 3 — PREGUNTAS DE PROFUNDIDAD: EJEMPLOS DE COMO PENSAR LA RESPUESTA</t>
  </si>
  <si>
    <t>Ejemplo de pregunta: 'Si la tasa mensual subiera del 1.2% al 1.8%, cuanto cambiaria la cuota del credito?'</t>
  </si>
  <si>
    <t>Como pensar la respuesta: No necesita el numero exacto de memoria. Diga: 'Puedo razonarlo: PAGO es sensible a la tasa. Un incremento de 0.6 puntos porcentuales mensuales sobre un credito de 20 millones a 48 meses aumentaria la cuota. En mi analisis calculo que la cuota original ronda los X colones — con 1.8% seria notablemente mayor. Podria calcularlo exactamente con =PAGO(0.018,48,-20000000) si tuviera acceso al archivo.' Demuestre que entiende la funcion aunque no tenga el numero exacto.</t>
  </si>
  <si>
    <t>Ejemplo de pregunta: 'Podria haber usado BUSCARX en lugar de BUSCARV? Cual es la diferencia?'</t>
  </si>
  <si>
    <t>Como pensar la respuesta: 'BUSCARV busca en la primera columna de la tabla y devuelve un valor de una columna a la derecha. BUSCARX es mas flexible: puede buscar en cualquier columna y devolver valores en cualquier direccion. En este caso BUSCARV funcionaba bien porque el codigo estaba en la primera columna del catalogo. Si el catalogo estuviera organizado de otra forma, BUSCARX habria sido mas conveniente.' Si no conoce BUSCARX diga: 'No la usamos en este curso, pero entiendo que ofrece mayor flexibilidad que BUSCARV.'</t>
  </si>
  <si>
    <t>Ejemplo de pregunta: 'Su analisis del Reto 3 muestra que la sucursal Liberia tiene el menor promedio. Que factores del negocio explicarian eso?'</t>
  </si>
  <si>
    <t>Como pensar la respuesta: No hay una respuesta unica — el evaluador quiere ver razonamiento. Ejemplo: 'Liberia tiene solo 2 vendedores segun los datos, lo que limita la capacidad de atencion al cliente. Ademas, es la sucursal mas alejada de la Gran Area Metropolitana, lo que puede traducirse en menor demanda de ciertos productos como Herramientas industriales. Una recomendacion seria analizar el mix de productos de esa sucursal para ver si esta especializada en categorias de menor valor promedio.'</t>
  </si>
  <si>
    <t>BLOQUE 4 — CONSEJOS PARA EL DIA DE LA DEFENSA</t>
  </si>
  <si>
    <t xml:space="preserve">  Conozca sus 5 numeros clave: total de ventas de su version, sucursal con mayor venta, categoria con mayor margen, cuota mensual del credito y si el VAN fue positivo o negativo. Con esos cinco puede responder el 80% de las preguntas posibles.</t>
  </si>
  <si>
    <t xml:space="preserve">  Si no recuerda un numero exacto, diga el aproximado y explique como lo calculo: 'En mi analisis era alrededor de X colones, obtenido multiplicando las unidades por el precio unitario y sumando todas las filas de esa sucursal.' Eso demuestra comprension del proceso.</t>
  </si>
  <si>
    <t xml:space="preserve">  Si no sabe la respuesta, no invente. Diga: 'No lo tengo presente en este momento, pero puedo razonar que...' y aplique logica. El evaluador valora el razonamiento tanto como el resultado.</t>
  </si>
  <si>
    <t xml:space="preserve">  Practique en voz alta explicando una formula a alguien que no sabe Excel — si puede explicarla claramente, la entendio. Si traba al explicarla, revise ese concepto antes de la defensa.</t>
  </si>
  <si>
    <t xml:space="preserve">  Revise su archivo completamente la noche anterior. Recorra cada hoja, lea sus respuestas a las preguntas de analisis y verifique que las formulas dan resultados coherentes. Un error que usted mismo detecta antes es mucho mejor que uno que detecte el evaluador.</t>
  </si>
  <si>
    <t>La defensa no es un examen de memoria — es una conversacion sobre su propio trabajo. Si hizo los retos con honestidad y los entendio, tiene todo lo que necesita para aprobarla.</t>
  </si>
  <si>
    <t>Row Labels</t>
  </si>
  <si>
    <t>Grand Total</t>
  </si>
  <si>
    <t>Column Labels</t>
  </si>
  <si>
    <t>Sum of Total Venta</t>
  </si>
  <si>
    <t>Total Sum of Total Venta</t>
  </si>
  <si>
    <t>Total Sum of margen</t>
  </si>
  <si>
    <t>Sum of margen</t>
  </si>
  <si>
    <t>Hay 8 transacciones Premium de las 90 registradas (8.9%). Su participación describe la frecuencia de compras de ₡500.000 o más en esta muestra.</t>
  </si>
  <si>
    <t>Liberia concentra 17 transacciones Básico de sus 18 registros. Una hipótesis es que su mezcla de productos o cantidades por compra favorezca tickets menores. Los datos no permiten atribuirlo al poder adquisitivo de sus clientes.</t>
  </si>
  <si>
    <t>Heredia tiene el promedio más alto: ₡622.450 por transacción. Liberia tiene el menor: ₡67.594. La diferencia es de ₡554.856; Heredia equivale a 9,21 veces Liberia, aproximadamente un 820,9% más.</t>
  </si>
  <si>
    <t>Heredia presenta la mayor desviación estándar por transacción: ₡854.389. Esto indica alta dispersión entre compras individuales. Para evaluar la estabilidad mes a mes es necesario agregar las ventas por mes; esta estadística por transacción no demuestra por sí sola la predictibilidad mensual.</t>
  </si>
  <si>
    <t>Propondría Cartago para un piloto: su promedio por transacción es ₡210.956, su mediana ₡135.750 y su desviación estándar ₡197.712, menor que la de Heredia (₡854.389). Es una propuesta que requiere un grupo de comparación y medición antes y después; estas cifras no garantizan estabilidad mensual ni el efecto del incentivo.</t>
  </si>
  <si>
    <t>n.a.</t>
  </si>
  <si>
    <t>n.a.: margen no aplicable cuando no hay ventas en la combinación filtrada.</t>
  </si>
  <si>
    <t>Liberia presenta el mayor margen bruto (40,0130%) y Heredia el menor (40,0022%). La diferencia es de 0,0109 puntos porcentuales. Los márgenes son muy próximos al 40% en esta base; la contribución bruta en colones depende principalmente del volumen vendido, mientras que el porcentaje no aumenta por vender más.</t>
  </si>
  <si>
    <t>Priorizaría el análisis de Heredia–Herramientas: vende ₡11,357,109, el 48.8% del total de esta base, con un margen cercano al 40%. Antes de ampliar inventario o personal, evaluaría demanda, rotación y costos operativos. La mayor utilidad bruta observada no garantiza por sí sola la máxima rentabilidad neta.</t>
  </si>
  <si>
    <t>PAGO(tasa, nper, va) calcula una cuota periódica constante. La tasa y el plazo deben usar la misma unidad. En este ejercicio se usa -monto como valor actual para mostrar la cuota como un importe positivo; los signos representan sentidos opuestos del flujo.</t>
  </si>
  <si>
    <t>Al subir la tasa mensual del 1,2% al 1,8%, la cuota pasa de ₡550,551 a ₡625,786: aumenta ₡75,235 (13.67%). Con ₡650.000 disponibles quedarían ₡24,214 al mes. El cálculo mantiene el plazo de 48 meses y no incluye comisiones ni seguros.</t>
  </si>
  <si>
    <t>TABLA 1 — VENTAS POR SUCURSAL Y TRIMESTRE (BASE RETO 1)</t>
  </si>
  <si>
    <t>TABLA 2 — MARGEN BRUTO POR CATEGORÍA (BASE RETO 4)</t>
  </si>
  <si>
    <t>Los totales por trimestre son ₡6.860.150 (T1), ₡6.122.700 (T2), ₡3.481.650 (T3) y ₡6.674.800 (T4). T3 cae un 49,25% respecto de T1 y T4 se recupera. El patrón de este único año es irregular; no prueba estacionalidad ni permite atribuir la caída a vacaciones o clima. Conviene investigar sus causas y simular el efecto de un trimestre débil sobre caja e inventario.</t>
  </si>
  <si>
    <t>En la base del Reto 4, Plomería tiene el margen más alto (40,0130%), apenas 0,0109 puntos porcentuales sobre Herramientas. Herramientas aporta el mayor volumen de ventas, ₡11.357.109. Propondría analizar su reposición según demanda y rotación; no justificaría una decisión comercial en una diferencia de margen tan pequeña.</t>
  </si>
  <si>
    <t>Liberia merece una revisión operativa: registra ₡1.216.700 de ventas en la base del Reto 1, un promedio de ₡67.594 por transacción en el Reto 3 y 17 de 18 compras Básico en el Reto 2. Estos indicadores no bastan para recomendar un cierre. Se necesitan costos fijos, utilidad neta, cobertura comercial y demanda potencial antes de decidir.</t>
  </si>
  <si>
    <t>En PAGO, el valor actual y las cuotas tienen signos opuestos por la convención de flujos. Si registramos el préstamo recibido como positivo, las cuotas son negativas. Aquí se usa -monto para presentar la cuota como un importe positivo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</si>
</sst>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3" x14ac:knownFonts="1">
    <font>
      <sz val="11"/>
      <color theme="1"/>
      <name val="Calibri"/>
      <family val="2"/>
      <scheme val="minor"/>
    </font>
    <font>
      <b/>
      <sz val="13"/>
      <color rgb="FFFFFFFF"/>
      <name val="Arial"/>
      <family val="2"/>
    </font>
    <font>
      <sz val="10"/>
      <color rgb="FFFFFFFF"/>
      <name val="Arial"/>
      <family val="2"/>
    </font>
    <font>
      <b/>
      <sz val="12"/>
      <color rgb="FFFFFFFF"/>
      <name val="Arial"/>
      <family val="2"/>
    </font>
    <font>
      <b/>
      <sz val="22"/>
      <color rgb="FFFFFFFF"/>
      <name val="Arial"/>
      <family val="2"/>
    </font>
    <font>
      <b/>
      <sz val="10"/>
      <color rgb="FFFFFFFF"/>
      <name val="Arial"/>
      <family val="2"/>
    </font>
    <font>
      <b/>
      <sz val="9"/>
      <color rgb="FF7F0000"/>
      <name val="Arial"/>
      <family val="2"/>
    </font>
    <font>
      <b/>
      <sz val="10"/>
      <color rgb="FF1F3864"/>
      <name val="Arial"/>
      <family val="2"/>
    </font>
    <font>
      <sz val="10"/>
      <color rgb="FF1F2D3D"/>
      <name val="Arial"/>
      <family val="2"/>
    </font>
    <font>
      <b/>
      <sz val="11"/>
      <color rgb="FFFFFFFF"/>
      <name val="Arial"/>
      <family val="2"/>
    </font>
    <font>
      <b/>
      <sz val="9"/>
      <color rgb="FFFFFFFF"/>
      <name val="Arial"/>
      <family val="2"/>
    </font>
    <font>
      <b/>
      <sz val="9"/>
      <color rgb="FF1F3864"/>
      <name val="Arial"/>
      <family val="2"/>
    </font>
    <font>
      <i/>
      <sz val="9"/>
      <color rgb="FF7F6000"/>
      <name val="Arial"/>
      <family val="2"/>
    </font>
    <font>
      <b/>
      <sz val="10"/>
      <color rgb="FF7F0000"/>
      <name val="Arial"/>
      <family val="2"/>
    </font>
    <font>
      <sz val="10"/>
      <color rgb="FF375623"/>
      <name val="Arial"/>
      <family val="2"/>
    </font>
    <font>
      <sz val="10"/>
      <color rgb="FF1F3864"/>
      <name val="Arial"/>
      <family val="2"/>
    </font>
    <font>
      <b/>
      <sz val="9"/>
      <color rgb="FF7F6000"/>
      <name val="Arial"/>
      <family val="2"/>
    </font>
    <font>
      <sz val="9"/>
      <color rgb="FF375623"/>
      <name val="Arial"/>
      <family val="2"/>
    </font>
    <font>
      <b/>
      <i/>
      <sz val="11"/>
      <color rgb="FFFFFFFF"/>
      <name val="Arial"/>
      <family val="2"/>
    </font>
    <font>
      <sz val="10"/>
      <color rgb="FF1F2D3D"/>
      <name val="Arial"/>
      <family val="2"/>
    </font>
    <font>
      <b/>
      <i/>
      <sz val="9"/>
      <color rgb="FF7F7F7F"/>
      <name val="Calibri"/>
      <family val="2"/>
    </font>
    <font>
      <b/>
      <sz val="11"/>
      <name val="Calibri"/>
      <family val="2"/>
    </font>
    <font>
      <b/>
      <sz val="9"/>
      <name val="Calibri"/>
      <family val="2"/>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F07D2A"/>
      </patternFill>
    </fill>
    <fill>
      <patternFill patternType="solid">
        <fgColor rgb="FFFFCCCC"/>
      </patternFill>
    </fill>
    <fill>
      <patternFill patternType="solid">
        <fgColor rgb="FFBDD7EE"/>
      </patternFill>
    </fill>
    <fill>
      <patternFill patternType="solid">
        <fgColor rgb="FFD6E4F0"/>
      </patternFill>
    </fill>
    <fill>
      <patternFill patternType="solid">
        <fgColor rgb="FFF2F2F2"/>
      </patternFill>
    </fill>
    <fill>
      <patternFill patternType="solid">
        <fgColor rgb="FFFFF2CC"/>
      </patternFill>
    </fill>
    <fill>
      <patternFill patternType="solid">
        <fgColor rgb="FF375623"/>
      </patternFill>
    </fill>
    <fill>
      <patternFill patternType="solid">
        <fgColor rgb="FFE2EFDA"/>
      </patternFill>
    </fill>
  </fills>
  <borders count="10">
    <border>
      <left/>
      <right/>
      <top/>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2E75B6"/>
      </left>
      <right style="thin">
        <color rgb="FF2E75B6"/>
      </right>
      <top style="thin">
        <color rgb="FF2E75B6"/>
      </top>
      <bottom style="thin">
        <color rgb="FF2E75B6"/>
      </bottom>
      <diagonal/>
    </border>
    <border>
      <left style="thin">
        <color rgb="FFF0C000"/>
      </left>
      <right style="thin">
        <color rgb="FFF0C000"/>
      </right>
      <top style="thin">
        <color rgb="FFF0C000"/>
      </top>
      <bottom style="thin">
        <color rgb="FFF0C000"/>
      </bottom>
      <diagonal/>
    </border>
    <border>
      <left/>
      <right style="thin">
        <color rgb="FF2E75B6"/>
      </right>
      <top style="thin">
        <color rgb="FF2E75B6"/>
      </top>
      <bottom style="thin">
        <color rgb="FF2E75B6"/>
      </bottom>
      <diagonal/>
    </border>
    <border>
      <left/>
      <right/>
      <top style="thin">
        <color rgb="FF2E75B6"/>
      </top>
      <bottom style="thin">
        <color rgb="FF2E75B6"/>
      </bottom>
      <diagonal/>
    </border>
    <border>
      <left/>
      <right/>
      <top style="thin">
        <color rgb="FFF0C000"/>
      </top>
      <bottom style="thin">
        <color rgb="FFF0C000"/>
      </bottom>
      <diagonal/>
    </border>
    <border>
      <left/>
      <right style="thin">
        <color rgb="FFF0C000"/>
      </right>
      <top style="thin">
        <color rgb="FFF0C000"/>
      </top>
      <bottom style="thin">
        <color rgb="FFF0C000"/>
      </bottom>
      <diagonal/>
    </border>
  </borders>
  <cellStyleXfs count="1">
    <xf numFmtId="0" fontId="0" fillId="0" borderId="0"/>
  </cellStyleXfs>
  <cellXfs count="67">
    <xf numFmtId="0" fontId="0" fillId="0" borderId="0" xfId="0"/>
    <xf numFmtId="0" fontId="3" fillId="2" borderId="1" xfId="0" applyFont="1" applyFill="1" applyBorder="1" applyAlignment="1">
      <alignment horizontal="right" vertical="center" wrapText="1"/>
    </xf>
    <xf numFmtId="0" fontId="5" fillId="2" borderId="1" xfId="0" applyFont="1" applyFill="1" applyBorder="1" applyAlignment="1">
      <alignment horizontal="right" vertical="center" wrapText="1"/>
    </xf>
    <xf numFmtId="0" fontId="7" fillId="0" borderId="1" xfId="0" applyFont="1" applyBorder="1" applyAlignment="1">
      <alignment horizontal="left" vertical="center" wrapText="1"/>
    </xf>
    <xf numFmtId="0" fontId="8" fillId="6" borderId="4"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7"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3" fontId="8" fillId="8" borderId="1" xfId="0" applyNumberFormat="1" applyFont="1" applyFill="1" applyBorder="1" applyAlignment="1">
      <alignment horizontal="left" vertical="center" wrapText="1"/>
    </xf>
    <xf numFmtId="3" fontId="8" fillId="0" borderId="1" xfId="0" applyNumberFormat="1" applyFont="1" applyBorder="1" applyAlignment="1">
      <alignment horizontal="left"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8" fillId="6" borderId="4" xfId="0" applyNumberFormat="1" applyFont="1" applyFill="1" applyBorder="1" applyAlignment="1">
      <alignment horizontal="left" vertical="center" wrapText="1"/>
    </xf>
    <xf numFmtId="0" fontId="8" fillId="8" borderId="1" xfId="0" applyFont="1" applyFill="1" applyBorder="1" applyAlignment="1">
      <alignment horizontal="center" vertical="center" wrapText="1"/>
    </xf>
    <xf numFmtId="3" fontId="8" fillId="8" borderId="1" xfId="0" applyNumberFormat="1" applyFont="1" applyFill="1" applyBorder="1" applyAlignment="1">
      <alignment horizontal="center" vertical="center" wrapText="1"/>
    </xf>
    <xf numFmtId="10" fontId="8" fillId="0" borderId="1" xfId="0" applyNumberFormat="1" applyFont="1" applyBorder="1" applyAlignment="1">
      <alignment horizontal="left" vertical="center" wrapText="1"/>
    </xf>
    <xf numFmtId="0" fontId="9" fillId="8" borderId="1" xfId="0" applyFont="1" applyFill="1" applyBorder="1" applyAlignment="1">
      <alignment horizontal="center" vertical="center" wrapText="1"/>
    </xf>
    <xf numFmtId="10" fontId="8" fillId="6" borderId="4" xfId="0" applyNumberFormat="1" applyFont="1" applyFill="1" applyBorder="1" applyAlignment="1">
      <alignment horizontal="left" vertical="center" wrapText="1"/>
    </xf>
    <xf numFmtId="0" fontId="7" fillId="0" borderId="1" xfId="0" applyFont="1" applyBorder="1" applyAlignment="1">
      <alignment horizontal="right" vertical="center" wrapText="1"/>
    </xf>
    <xf numFmtId="0" fontId="20" fillId="0" borderId="0" xfId="0" applyFont="1"/>
    <xf numFmtId="0" fontId="21" fillId="0" borderId="0" xfId="0" applyFont="1"/>
    <xf numFmtId="0" fontId="22" fillId="0" borderId="0" xfId="0" applyFont="1"/>
    <xf numFmtId="10" fontId="0" fillId="0" borderId="0" xfId="0" applyNumberFormat="1"/>
    <xf numFmtId="9" fontId="0" fillId="0" borderId="0" xfId="0" applyNumberFormat="1"/>
    <xf numFmtId="9" fontId="0" fillId="0" borderId="0" xfId="0" pivotButton="1" applyNumberFormat="1"/>
    <xf numFmtId="9" fontId="0" fillId="0" borderId="0" xfId="0" applyNumberFormat="1" applyAlignment="1">
      <alignment horizontal="left"/>
    </xf>
    <xf numFmtId="164" fontId="0" fillId="0" borderId="0" xfId="0" applyNumberFormat="1"/>
    <xf numFmtId="0" fontId="5" fillId="3" borderId="1" xfId="0" applyFont="1" applyFill="1" applyBorder="1" applyAlignment="1">
      <alignment horizontal="center" vertical="center" wrapText="1"/>
    </xf>
    <xf numFmtId="0" fontId="0" fillId="0" borderId="2" xfId="0" applyBorder="1"/>
    <xf numFmtId="0" fontId="0" fillId="0" borderId="3" xfId="0" applyBorder="1"/>
    <xf numFmtId="0" fontId="8" fillId="0" borderId="1" xfId="0" applyFont="1" applyBorder="1" applyAlignment="1">
      <alignment horizontal="left" vertical="center" wrapText="1"/>
    </xf>
    <xf numFmtId="0" fontId="3" fillId="10" borderId="1" xfId="0" applyFont="1" applyFill="1" applyBorder="1" applyAlignment="1">
      <alignment horizontal="center" vertical="center" wrapText="1"/>
    </xf>
    <xf numFmtId="0" fontId="14" fillId="11"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8" fillId="6" borderId="4" xfId="0" applyFont="1" applyFill="1" applyBorder="1" applyAlignment="1">
      <alignment horizontal="left" vertical="center" wrapText="1"/>
    </xf>
    <xf numFmtId="0" fontId="0" fillId="0" borderId="7" xfId="0" applyBorder="1"/>
    <xf numFmtId="0" fontId="0" fillId="0" borderId="6" xfId="0" applyBorder="1"/>
    <xf numFmtId="0" fontId="5" fillId="10"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19" fillId="6" borderId="4"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2" fillId="9" borderId="5" xfId="0" applyFont="1" applyFill="1" applyBorder="1" applyAlignment="1">
      <alignment horizontal="left" vertical="center" wrapText="1"/>
    </xf>
    <xf numFmtId="0" fontId="0" fillId="0" borderId="8" xfId="0" applyBorder="1"/>
    <xf numFmtId="0" fontId="0" fillId="0" borderId="9" xfId="0" applyBorder="1"/>
    <xf numFmtId="0" fontId="7" fillId="7" borderId="4"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8" fillId="4" borderId="1" xfId="0" applyFont="1" applyFill="1" applyBorder="1" applyAlignment="1">
      <alignment horizontal="left" vertical="center" wrapText="1"/>
    </xf>
  </cellXfs>
  <cellStyles count="1">
    <cellStyle name="Normal" xfId="0" builtinId="0"/>
  </cellStyles>
  <dxfs count="5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Ventas por Sucursal y Trimestre</a:t>
            </a:r>
          </a:p>
        </c:rich>
      </c:tx>
      <c:overlay val="0"/>
    </c:title>
    <c:autoTitleDeleted val="0"/>
    <c:plotArea>
      <c:layout/>
      <c:barChart>
        <c:barDir val="col"/>
        <c:grouping val="clustered"/>
        <c:varyColors val="1"/>
        <c:ser>
          <c:idx val="0"/>
          <c:order val="0"/>
          <c:tx>
            <c:strRef>
              <c:f>Reto6_Dashboard!$B$5</c:f>
              <c:strCache>
                <c:ptCount val="1"/>
                <c:pt idx="0">
                  <c:v>T1</c:v>
                </c:pt>
              </c:strCache>
            </c:strRef>
          </c:tx>
          <c:spPr>
            <a:ln>
              <a:prstDash val="solid"/>
            </a:ln>
          </c:spPr>
          <c:invertIfNegative val="1"/>
          <c:cat>
            <c:strRef>
              <c:f>Reto6_Dashboard!$A$6:$A$10</c:f>
              <c:strCache>
                <c:ptCount val="5"/>
                <c:pt idx="0">
                  <c:v>Central</c:v>
                </c:pt>
                <c:pt idx="1">
                  <c:v>Cartago</c:v>
                </c:pt>
                <c:pt idx="2">
                  <c:v>Heredia</c:v>
                </c:pt>
                <c:pt idx="3">
                  <c:v>Alajuela</c:v>
                </c:pt>
                <c:pt idx="4">
                  <c:v>Liberia</c:v>
                </c:pt>
              </c:strCache>
            </c:strRef>
          </c:cat>
          <c:val>
            <c:numRef>
              <c:f>Reto6_Dashboard!$B$6:$B$10</c:f>
              <c:numCache>
                <c:formatCode>#,##0</c:formatCode>
                <c:ptCount val="5"/>
                <c:pt idx="0">
                  <c:v>793050</c:v>
                </c:pt>
                <c:pt idx="1">
                  <c:v>1142900</c:v>
                </c:pt>
                <c:pt idx="2">
                  <c:v>4207000</c:v>
                </c:pt>
                <c:pt idx="3">
                  <c:v>519800</c:v>
                </c:pt>
                <c:pt idx="4">
                  <c:v>197400</c:v>
                </c:pt>
              </c:numCache>
            </c:numRef>
          </c:val>
          <c:extLst>
            <c:ext xmlns:c16="http://schemas.microsoft.com/office/drawing/2014/chart" uri="{C3380CC4-5D6E-409C-BE32-E72D297353CC}">
              <c16:uniqueId val="{00000000-2ECA-BD4F-8C76-2A72A388932A}"/>
            </c:ext>
          </c:extLst>
        </c:ser>
        <c:ser>
          <c:idx val="1"/>
          <c:order val="1"/>
          <c:tx>
            <c:strRef>
              <c:f>Reto6_Dashboard!$C$5</c:f>
              <c:strCache>
                <c:ptCount val="1"/>
                <c:pt idx="0">
                  <c:v>T2</c:v>
                </c:pt>
              </c:strCache>
            </c:strRef>
          </c:tx>
          <c:spPr>
            <a:ln>
              <a:prstDash val="solid"/>
            </a:ln>
          </c:spPr>
          <c:invertIfNegative val="1"/>
          <c:cat>
            <c:strRef>
              <c:f>Reto6_Dashboard!$A$6:$A$10</c:f>
              <c:strCache>
                <c:ptCount val="5"/>
                <c:pt idx="0">
                  <c:v>Central</c:v>
                </c:pt>
                <c:pt idx="1">
                  <c:v>Cartago</c:v>
                </c:pt>
                <c:pt idx="2">
                  <c:v>Heredia</c:v>
                </c:pt>
                <c:pt idx="3">
                  <c:v>Alajuela</c:v>
                </c:pt>
                <c:pt idx="4">
                  <c:v>Liberia</c:v>
                </c:pt>
              </c:strCache>
            </c:strRef>
          </c:cat>
          <c:val>
            <c:numRef>
              <c:f>Reto6_Dashboard!$C$6:$C$10</c:f>
              <c:numCache>
                <c:formatCode>#,##0</c:formatCode>
                <c:ptCount val="5"/>
                <c:pt idx="0">
                  <c:v>1155000</c:v>
                </c:pt>
                <c:pt idx="1">
                  <c:v>207000</c:v>
                </c:pt>
                <c:pt idx="2">
                  <c:v>3407900</c:v>
                </c:pt>
                <c:pt idx="3">
                  <c:v>698700</c:v>
                </c:pt>
                <c:pt idx="4">
                  <c:v>654100</c:v>
                </c:pt>
              </c:numCache>
            </c:numRef>
          </c:val>
          <c:extLst>
            <c:ext xmlns:c16="http://schemas.microsoft.com/office/drawing/2014/chart" uri="{C3380CC4-5D6E-409C-BE32-E72D297353CC}">
              <c16:uniqueId val="{00000001-2ECA-BD4F-8C76-2A72A388932A}"/>
            </c:ext>
          </c:extLst>
        </c:ser>
        <c:ser>
          <c:idx val="2"/>
          <c:order val="2"/>
          <c:tx>
            <c:strRef>
              <c:f>Reto6_Dashboard!$D$5</c:f>
              <c:strCache>
                <c:ptCount val="1"/>
                <c:pt idx="0">
                  <c:v>T3</c:v>
                </c:pt>
              </c:strCache>
            </c:strRef>
          </c:tx>
          <c:spPr>
            <a:ln>
              <a:prstDash val="solid"/>
            </a:ln>
          </c:spPr>
          <c:invertIfNegative val="1"/>
          <c:cat>
            <c:strRef>
              <c:f>Reto6_Dashboard!$A$6:$A$10</c:f>
              <c:strCache>
                <c:ptCount val="5"/>
                <c:pt idx="0">
                  <c:v>Central</c:v>
                </c:pt>
                <c:pt idx="1">
                  <c:v>Cartago</c:v>
                </c:pt>
                <c:pt idx="2">
                  <c:v>Heredia</c:v>
                </c:pt>
                <c:pt idx="3">
                  <c:v>Alajuela</c:v>
                </c:pt>
                <c:pt idx="4">
                  <c:v>Liberia</c:v>
                </c:pt>
              </c:strCache>
            </c:strRef>
          </c:cat>
          <c:val>
            <c:numRef>
              <c:f>Reto6_Dashboard!$D$6:$D$10</c:f>
              <c:numCache>
                <c:formatCode>#,##0</c:formatCode>
                <c:ptCount val="5"/>
                <c:pt idx="0">
                  <c:v>149250</c:v>
                </c:pt>
                <c:pt idx="1">
                  <c:v>1405500</c:v>
                </c:pt>
                <c:pt idx="2">
                  <c:v>1110000</c:v>
                </c:pt>
                <c:pt idx="3">
                  <c:v>686500</c:v>
                </c:pt>
                <c:pt idx="4">
                  <c:v>130400</c:v>
                </c:pt>
              </c:numCache>
            </c:numRef>
          </c:val>
          <c:extLst>
            <c:ext xmlns:c16="http://schemas.microsoft.com/office/drawing/2014/chart" uri="{C3380CC4-5D6E-409C-BE32-E72D297353CC}">
              <c16:uniqueId val="{00000002-2ECA-BD4F-8C76-2A72A388932A}"/>
            </c:ext>
          </c:extLst>
        </c:ser>
        <c:ser>
          <c:idx val="3"/>
          <c:order val="3"/>
          <c:tx>
            <c:strRef>
              <c:f>Reto6_Dashboard!$E$5</c:f>
              <c:strCache>
                <c:ptCount val="1"/>
                <c:pt idx="0">
                  <c:v>T4</c:v>
                </c:pt>
              </c:strCache>
            </c:strRef>
          </c:tx>
          <c:spPr>
            <a:ln>
              <a:prstDash val="solid"/>
            </a:ln>
          </c:spPr>
          <c:invertIfNegative val="1"/>
          <c:cat>
            <c:strRef>
              <c:f>Reto6_Dashboard!$A$6:$A$10</c:f>
              <c:strCache>
                <c:ptCount val="5"/>
                <c:pt idx="0">
                  <c:v>Central</c:v>
                </c:pt>
                <c:pt idx="1">
                  <c:v>Cartago</c:v>
                </c:pt>
                <c:pt idx="2">
                  <c:v>Heredia</c:v>
                </c:pt>
                <c:pt idx="3">
                  <c:v>Alajuela</c:v>
                </c:pt>
                <c:pt idx="4">
                  <c:v>Liberia</c:v>
                </c:pt>
              </c:strCache>
            </c:strRef>
          </c:cat>
          <c:val>
            <c:numRef>
              <c:f>Reto6_Dashboard!$E$6:$E$10</c:f>
              <c:numCache>
                <c:formatCode>#,##0</c:formatCode>
                <c:ptCount val="5"/>
                <c:pt idx="0">
                  <c:v>1249500</c:v>
                </c:pt>
                <c:pt idx="1">
                  <c:v>1041800</c:v>
                </c:pt>
                <c:pt idx="2">
                  <c:v>2479200</c:v>
                </c:pt>
                <c:pt idx="3">
                  <c:v>1669500</c:v>
                </c:pt>
                <c:pt idx="4">
                  <c:v>234800</c:v>
                </c:pt>
              </c:numCache>
            </c:numRef>
          </c:val>
          <c:extLst>
            <c:ext xmlns:c16="http://schemas.microsoft.com/office/drawing/2014/chart" uri="{C3380CC4-5D6E-409C-BE32-E72D297353CC}">
              <c16:uniqueId val="{00000003-2ECA-BD4F-8C76-2A72A388932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Sucursal</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Ventas totales (colones)</a:t>
                </a:r>
              </a:p>
            </c:rich>
          </c:tx>
          <c:overlay val="0"/>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Margen Bruto (%) por Categoria</a:t>
            </a:r>
          </a:p>
        </c:rich>
      </c:tx>
      <c:overlay val="0"/>
    </c:title>
    <c:autoTitleDeleted val="0"/>
    <c:plotArea>
      <c:layout/>
      <c:barChart>
        <c:barDir val="col"/>
        <c:grouping val="clustered"/>
        <c:varyColors val="1"/>
        <c:ser>
          <c:idx val="0"/>
          <c:order val="0"/>
          <c:tx>
            <c:strRef>
              <c:f>Reto6_Dashboard!$D$14</c:f>
              <c:strCache>
                <c:ptCount val="1"/>
                <c:pt idx="0">
                  <c:v>Margen (%)</c:v>
                </c:pt>
              </c:strCache>
            </c:strRef>
          </c:tx>
          <c:spPr>
            <a:ln>
              <a:prstDash val="solid"/>
            </a:ln>
          </c:spPr>
          <c:invertIfNegative val="1"/>
          <c:cat>
            <c:strRef>
              <c:f>Reto6_Dashboard!$A$15:$A$19</c:f>
              <c:strCache>
                <c:ptCount val="5"/>
                <c:pt idx="0">
                  <c:v>Construccion</c:v>
                </c:pt>
                <c:pt idx="1">
                  <c:v>Pintura</c:v>
                </c:pt>
                <c:pt idx="2">
                  <c:v>Herramientas</c:v>
                </c:pt>
                <c:pt idx="3">
                  <c:v>Electricos</c:v>
                </c:pt>
                <c:pt idx="4">
                  <c:v>Plomeria</c:v>
                </c:pt>
              </c:strCache>
            </c:strRef>
          </c:cat>
          <c:val>
            <c:numRef>
              <c:f>Reto6_Dashboard!$D$15:$D$19</c:f>
              <c:numCache>
                <c:formatCode>0.00%</c:formatCode>
                <c:ptCount val="5"/>
                <c:pt idx="0">
                  <c:v>0.4000509720037006</c:v>
                </c:pt>
                <c:pt idx="1">
                  <c:v>0.40003880891806881</c:v>
                </c:pt>
                <c:pt idx="2">
                  <c:v>0.40002169566216189</c:v>
                </c:pt>
                <c:pt idx="3">
                  <c:v>0.40004552152021289</c:v>
                </c:pt>
                <c:pt idx="4">
                  <c:v>0.40013030649647752</c:v>
                </c:pt>
              </c:numCache>
            </c:numRef>
          </c:val>
          <c:extLst>
            <c:ext xmlns:c16="http://schemas.microsoft.com/office/drawing/2014/chart" uri="{C3380CC4-5D6E-409C-BE32-E72D297353CC}">
              <c16:uniqueId val="{00000000-3DB7-BF44-8728-63816A61FD1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Categoria</a:t>
                </a:r>
              </a:p>
            </c:rich>
          </c:tx>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5"/>
          <c:min val="0"/>
        </c:scaling>
        <c:delete val="0"/>
        <c:axPos val="l"/>
        <c:majorGridlines/>
        <c:title>
          <c:tx>
            <c:rich>
              <a:bodyPr/>
              <a:lstStyle/>
              <a:p>
                <a:pPr>
                  <a:defRPr/>
                </a:pPr>
                <a:r>
                  <a:rPr lang="en-US"/>
                  <a:t>Margen (%)</a:t>
                </a:r>
              </a:p>
            </c:rich>
          </c:tx>
          <c:overlay val="0"/>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23585</xdr:colOff>
      <xdr:row>15</xdr:row>
      <xdr:rowOff>151492</xdr:rowOff>
    </xdr:from>
    <xdr:to>
      <xdr:col>18</xdr:col>
      <xdr:colOff>916517</xdr:colOff>
      <xdr:row>29</xdr:row>
      <xdr:rowOff>40361</xdr:rowOff>
    </xdr:to>
    <mc:AlternateContent xmlns:mc="http://schemas.openxmlformats.org/markup-compatibility/2006" xmlns:a14="http://schemas.microsoft.com/office/drawing/2010/main">
      <mc:Choice Requires="a14">
        <xdr:graphicFrame macro="">
          <xdr:nvGraphicFramePr>
            <xdr:cNvPr id="2" name="Trim">
              <a:extLst>
                <a:ext uri="{FF2B5EF4-FFF2-40B4-BE49-F238E27FC236}">
                  <a16:creationId xmlns:a16="http://schemas.microsoft.com/office/drawing/2014/main" id="{E6965B1F-E053-45CE-74E0-6C2288F97FF7}"/>
                </a:ext>
              </a:extLst>
            </xdr:cNvPr>
            <xdr:cNvGraphicFramePr/>
          </xdr:nvGraphicFramePr>
          <xdr:xfrm>
            <a:off x="0" y="0"/>
            <a:ext cx="0" cy="0"/>
          </xdr:xfrm>
          <a:graphic>
            <a:graphicData uri="http://schemas.microsoft.com/office/drawing/2010/slicer">
              <sle:slicer xmlns:sle="http://schemas.microsoft.com/office/drawing/2010/slicer" name="Trim"/>
            </a:graphicData>
          </a:graphic>
        </xdr:graphicFrame>
      </mc:Choice>
      <mc:Fallback xmlns="">
        <xdr:sp macro="" textlink="">
          <xdr:nvSpPr>
            <xdr:cNvPr id="0" name=""/>
            <xdr:cNvSpPr>
              <a:spLocks noTextEdit="1"/>
            </xdr:cNvSpPr>
          </xdr:nvSpPr>
          <xdr:spPr>
            <a:xfrm>
              <a:off x="15297452" y="5129892"/>
              <a:ext cx="1841198" cy="2496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8</xdr:col>
      <xdr:colOff>0</xdr:colOff>
      <xdr:row>4</xdr:row>
      <xdr:rowOff>0</xdr:rowOff>
    </xdr:from>
    <xdr:ext cx="6480000" cy="30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22</xdr:row>
      <xdr:rowOff>0</xdr:rowOff>
    </xdr:from>
    <xdr:ext cx="6480000" cy="30600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Lara" refreshedDate="46250.906087615738" createdVersion="8" refreshedVersion="8" minRefreshableVersion="3" recordCount="90" xr:uid="{9ECAACC0-12E0-AE4C-A5B7-E91F44241CCA}">
  <cacheSource type="worksheet">
    <worksheetSource ref="A6:K96" sheet="Reto4_TablaDin"/>
  </cacheSource>
  <cacheFields count="12">
    <cacheField name="#" numFmtId="0">
      <sharedItems containsSemiMixedTypes="0" containsString="0" containsNumber="1" containsInteger="1" minValue="1" maxValue="90"/>
    </cacheField>
    <cacheField name="Mes" numFmtId="0">
      <sharedItems/>
    </cacheField>
    <cacheField name="Trim" numFmtId="0">
      <sharedItems count="4">
        <s v="T1"/>
        <s v="T2"/>
        <s v="T3"/>
        <s v="T4"/>
      </sharedItems>
    </cacheField>
    <cacheField name="Sucursal" numFmtId="0">
      <sharedItems count="5">
        <s v="Central"/>
        <s v="Cartago"/>
        <s v="Heredia"/>
        <s v="Alajuela"/>
        <s v="Liberia"/>
      </sharedItems>
    </cacheField>
    <cacheField name="Categoria" numFmtId="0">
      <sharedItems count="5">
        <s v="Construccion"/>
        <s v="Pintura"/>
        <s v="Herramientas"/>
        <s v="Electricos"/>
        <s v="Plomeria"/>
      </sharedItems>
    </cacheField>
    <cacheField name="Vendedor" numFmtId="0">
      <sharedItems/>
    </cacheField>
    <cacheField name="Nombre Producto" numFmtId="0">
      <sharedItems/>
    </cacheField>
    <cacheField name="Unidades" numFmtId="3">
      <sharedItems containsSemiMixedTypes="0" containsString="0" containsNumber="1" containsInteger="1" minValue="2" maxValue="45"/>
    </cacheField>
    <cacheField name="Precio Unit." numFmtId="3">
      <sharedItems containsSemiMixedTypes="0" containsString="0" containsNumber="1" containsInteger="1" minValue="342" maxValue="68181"/>
    </cacheField>
    <cacheField name="Total Venta" numFmtId="3">
      <sharedItems containsSemiMixedTypes="0" containsString="0" containsNumber="1" containsInteger="1" minValue="822" maxValue="2999964"/>
    </cacheField>
    <cacheField name="Total Costo" numFmtId="3">
      <sharedItems containsSemiMixedTypes="0" containsString="0" containsNumber="1" containsInteger="1" minValue="492" maxValue="1799952"/>
    </cacheField>
    <cacheField name="margen" numFmtId="0" formula=" ('Total Venta'-'Total Costo')/'Total Venta'" databaseField="0"/>
  </cacheFields>
  <extLst>
    <ext xmlns:x14="http://schemas.microsoft.com/office/spreadsheetml/2009/9/main" uri="{725AE2AE-9491-48be-B2B4-4EB974FC3084}">
      <x14:pivotCacheDefinition pivotCacheId="2058040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n v="1"/>
    <s v="Enero"/>
    <x v="0"/>
    <x v="0"/>
    <x v="0"/>
    <s v="Juan Mora"/>
    <s v="Bloque 15x20x40"/>
    <n v="45"/>
    <n v="898"/>
    <n v="40410"/>
    <n v="24210"/>
  </r>
  <r>
    <n v="2"/>
    <s v="Febrero"/>
    <x v="0"/>
    <x v="1"/>
    <x v="1"/>
    <s v="Luis Brenes"/>
    <s v="Sellador acrilico"/>
    <n v="11"/>
    <n v="11423"/>
    <n v="125653"/>
    <n v="75383"/>
  </r>
  <r>
    <n v="3"/>
    <s v="Marzo"/>
    <x v="0"/>
    <x v="2"/>
    <x v="2"/>
    <s v="Fabiola Rios"/>
    <s v="Sierra circular 7in"/>
    <n v="42"/>
    <n v="48144"/>
    <n v="2022048"/>
    <n v="1213212"/>
  </r>
  <r>
    <n v="4"/>
    <s v="Abril"/>
    <x v="1"/>
    <x v="3"/>
    <x v="3"/>
    <s v="Rosa Mendez"/>
    <s v="Panel 12 circuitos"/>
    <n v="8"/>
    <n v="40828"/>
    <n v="326624"/>
    <n v="195968"/>
  </r>
  <r>
    <n v="5"/>
    <s v="Mayo"/>
    <x v="1"/>
    <x v="4"/>
    <x v="4"/>
    <s v="Andres Mora"/>
    <s v="Llave de chorro"/>
    <n v="38"/>
    <n v="9189"/>
    <n v="349182"/>
    <n v="209494"/>
  </r>
  <r>
    <n v="6"/>
    <s v="Junio"/>
    <x v="1"/>
    <x v="0"/>
    <x v="0"/>
    <s v="Ana Vargas"/>
    <s v="Regla aluminio 2m"/>
    <n v="3"/>
    <n v="4420"/>
    <n v="13260"/>
    <n v="7956"/>
  </r>
  <r>
    <n v="7"/>
    <s v="Julio"/>
    <x v="2"/>
    <x v="1"/>
    <x v="1"/>
    <s v="Maria Jimenez"/>
    <s v="Pintura blanca 4L"/>
    <n v="6"/>
    <n v="14270"/>
    <n v="85620"/>
    <n v="51372"/>
  </r>
  <r>
    <n v="8"/>
    <s v="Agosto"/>
    <x v="2"/>
    <x v="2"/>
    <x v="2"/>
    <s v="Pedro Quesada"/>
    <s v="Destornillador set x6"/>
    <n v="22"/>
    <n v="11938"/>
    <n v="262636"/>
    <n v="157564"/>
  </r>
  <r>
    <n v="9"/>
    <s v="Septiembre"/>
    <x v="2"/>
    <x v="3"/>
    <x v="3"/>
    <s v="Patricia Salas"/>
    <s v="Breaker 20A"/>
    <n v="39"/>
    <n v="7721"/>
    <n v="301119"/>
    <n v="180648"/>
  </r>
  <r>
    <n v="10"/>
    <s v="Octubre"/>
    <x v="3"/>
    <x v="4"/>
    <x v="4"/>
    <s v="Karina Solis"/>
    <s v="Sellador silicona"/>
    <n v="15"/>
    <n v="3007"/>
    <n v="45105"/>
    <n v="27060"/>
  </r>
  <r>
    <n v="11"/>
    <s v="Noviembre"/>
    <x v="3"/>
    <x v="0"/>
    <x v="0"/>
    <s v="Carlos Solano"/>
    <s v="Malla electrosoldada"/>
    <n v="42"/>
    <n v="16225"/>
    <n v="681450"/>
    <n v="408870"/>
  </r>
  <r>
    <n v="12"/>
    <s v="Diciembre"/>
    <x v="3"/>
    <x v="1"/>
    <x v="1"/>
    <s v="Sandra Vega"/>
    <s v="Brocha 4 pulgadas"/>
    <n v="23"/>
    <n v="3090"/>
    <n v="71070"/>
    <n v="42642"/>
  </r>
  <r>
    <n v="13"/>
    <s v="Enero"/>
    <x v="0"/>
    <x v="2"/>
    <x v="2"/>
    <s v="Diana Castro"/>
    <s v="Martillo 500g"/>
    <n v="7"/>
    <n v="8717"/>
    <n v="61019"/>
    <n v="36610"/>
  </r>
  <r>
    <n v="14"/>
    <s v="Febrero"/>
    <x v="0"/>
    <x v="3"/>
    <x v="3"/>
    <s v="Fabio Ulate"/>
    <s v="Tomacorriente doble"/>
    <n v="33"/>
    <n v="4120"/>
    <n v="135960"/>
    <n v="81576"/>
  </r>
  <r>
    <n v="15"/>
    <s v="Marzo"/>
    <x v="0"/>
    <x v="4"/>
    <x v="4"/>
    <s v="Andres Mora"/>
    <s v="Codo 90 PVC 1/2"/>
    <n v="15"/>
    <n v="456"/>
    <n v="6840"/>
    <n v="4095"/>
  </r>
  <r>
    <n v="16"/>
    <s v="Abril"/>
    <x v="1"/>
    <x v="0"/>
    <x v="0"/>
    <s v="Rita Ulate"/>
    <s v="Arena (m3)"/>
    <n v="4"/>
    <n v="11284"/>
    <n v="45136"/>
    <n v="27080"/>
  </r>
  <r>
    <n v="17"/>
    <s v="Mayo"/>
    <x v="1"/>
    <x v="1"/>
    <x v="1"/>
    <s v="Luis Brenes"/>
    <s v="Rodillo de esponja"/>
    <n v="7"/>
    <n v="4221"/>
    <n v="29547"/>
    <n v="17724"/>
  </r>
  <r>
    <n v="18"/>
    <s v="Junio"/>
    <x v="1"/>
    <x v="2"/>
    <x v="2"/>
    <s v="Fabiola Rios"/>
    <s v="Nivel de burbuja 60cm"/>
    <n v="20"/>
    <n v="7495"/>
    <n v="149900"/>
    <n v="89940"/>
  </r>
  <r>
    <n v="19"/>
    <s v="Julio"/>
    <x v="2"/>
    <x v="3"/>
    <x v="3"/>
    <s v="Rosa Mendez"/>
    <s v="Cable THHN #12 (m)"/>
    <n v="18"/>
    <n v="792"/>
    <n v="14256"/>
    <n v="8550"/>
  </r>
  <r>
    <n v="20"/>
    <s v="Agosto"/>
    <x v="2"/>
    <x v="4"/>
    <x v="4"/>
    <s v="Karina Solis"/>
    <s v="Llave de paso 1/2"/>
    <n v="9"/>
    <n v="5946"/>
    <n v="53514"/>
    <n v="32103"/>
  </r>
  <r>
    <n v="21"/>
    <s v="Septiembre"/>
    <x v="2"/>
    <x v="0"/>
    <x v="0"/>
    <s v="Juan Mora"/>
    <s v="Varilla #3 (6m)"/>
    <n v="19"/>
    <n v="3331"/>
    <n v="63289"/>
    <n v="37962"/>
  </r>
  <r>
    <n v="22"/>
    <s v="Octubre"/>
    <x v="3"/>
    <x v="1"/>
    <x v="1"/>
    <s v="Maria Jimenez"/>
    <s v="Pintura epoxica 1L"/>
    <n v="16"/>
    <n v="28414"/>
    <n v="454624"/>
    <n v="272768"/>
  </r>
  <r>
    <n v="23"/>
    <s v="Noviembre"/>
    <x v="3"/>
    <x v="2"/>
    <x v="2"/>
    <s v="Pedro Quesada"/>
    <s v="Taladro percutor"/>
    <n v="5"/>
    <n v="58668"/>
    <n v="293340"/>
    <n v="176000"/>
  </r>
  <r>
    <n v="24"/>
    <s v="Diciembre"/>
    <x v="3"/>
    <x v="3"/>
    <x v="3"/>
    <s v="Patricia Salas"/>
    <s v="Interruptor sencillo"/>
    <n v="43"/>
    <n v="2865"/>
    <n v="123195"/>
    <n v="73917"/>
  </r>
  <r>
    <n v="25"/>
    <s v="Enero"/>
    <x v="0"/>
    <x v="4"/>
    <x v="4"/>
    <s v="Andres Mora"/>
    <s v="Tubo PVC 1/2 (6m)"/>
    <n v="19"/>
    <n v="3338"/>
    <n v="63422"/>
    <n v="38038"/>
  </r>
  <r>
    <n v="26"/>
    <s v="Febrero"/>
    <x v="0"/>
    <x v="0"/>
    <x v="0"/>
    <s v="Ana Vargas"/>
    <s v="Cemento 50kg"/>
    <n v="43"/>
    <n v="8220"/>
    <n v="353460"/>
    <n v="212076"/>
  </r>
  <r>
    <n v="27"/>
    <s v="Marzo"/>
    <x v="0"/>
    <x v="1"/>
    <x v="1"/>
    <s v="Sandra Vega"/>
    <s v="Thinner industrial"/>
    <n v="30"/>
    <n v="10596"/>
    <n v="317880"/>
    <n v="190710"/>
  </r>
  <r>
    <n v="28"/>
    <s v="Abril"/>
    <x v="1"/>
    <x v="2"/>
    <x v="2"/>
    <s v="Diana Castro"/>
    <s v="Cinta metrica 5m"/>
    <n v="42"/>
    <n v="3341"/>
    <n v="140322"/>
    <n v="84168"/>
  </r>
  <r>
    <n v="29"/>
    <s v="Mayo"/>
    <x v="1"/>
    <x v="3"/>
    <x v="3"/>
    <s v="Fabio Ulate"/>
    <s v="Cinta aislante"/>
    <n v="29"/>
    <n v="884"/>
    <n v="25636"/>
    <n v="15370"/>
  </r>
  <r>
    <n v="30"/>
    <s v="Junio"/>
    <x v="1"/>
    <x v="4"/>
    <x v="4"/>
    <s v="Karina Solis"/>
    <s v="Tee PVC 1/2"/>
    <n v="27"/>
    <n v="412"/>
    <n v="11124"/>
    <n v="6669"/>
  </r>
  <r>
    <n v="31"/>
    <s v="Julio"/>
    <x v="2"/>
    <x v="0"/>
    <x v="0"/>
    <s v="Carlos Solano"/>
    <s v="Bloque 15x20x40"/>
    <n v="9"/>
    <n v="882"/>
    <n v="7938"/>
    <n v="4761"/>
  </r>
  <r>
    <n v="32"/>
    <s v="Agosto"/>
    <x v="2"/>
    <x v="1"/>
    <x v="1"/>
    <s v="Luis Brenes"/>
    <s v="Sellador acrilico"/>
    <n v="39"/>
    <n v="11828"/>
    <n v="461292"/>
    <n v="276744"/>
  </r>
  <r>
    <n v="33"/>
    <s v="Septiembre"/>
    <x v="2"/>
    <x v="2"/>
    <x v="2"/>
    <s v="Fabiola Rios"/>
    <s v="Sierra circular 7in"/>
    <n v="16"/>
    <n v="41547"/>
    <n v="664752"/>
    <n v="398848"/>
  </r>
  <r>
    <n v="34"/>
    <s v="Octubre"/>
    <x v="3"/>
    <x v="3"/>
    <x v="3"/>
    <s v="Rosa Mendez"/>
    <s v="Panel 12 circuitos"/>
    <n v="40"/>
    <n v="34593"/>
    <n v="1383720"/>
    <n v="830200"/>
  </r>
  <r>
    <n v="35"/>
    <s v="Noviembre"/>
    <x v="3"/>
    <x v="4"/>
    <x v="4"/>
    <s v="Andres Mora"/>
    <s v="Llave de chorro"/>
    <n v="14"/>
    <n v="8391"/>
    <n v="117474"/>
    <n v="70476"/>
  </r>
  <r>
    <n v="36"/>
    <s v="Diciembre"/>
    <x v="3"/>
    <x v="0"/>
    <x v="0"/>
    <s v="Rita Ulate"/>
    <s v="Regla aluminio 2m"/>
    <n v="13"/>
    <n v="4805"/>
    <n v="62465"/>
    <n v="37479"/>
  </r>
  <r>
    <n v="37"/>
    <s v="Enero"/>
    <x v="0"/>
    <x v="1"/>
    <x v="1"/>
    <s v="Maria Jimenez"/>
    <s v="Pintura blanca 4L"/>
    <n v="9"/>
    <n v="16380"/>
    <n v="147420"/>
    <n v="88452"/>
  </r>
  <r>
    <n v="38"/>
    <s v="Febrero"/>
    <x v="0"/>
    <x v="2"/>
    <x v="2"/>
    <s v="Pedro Quesada"/>
    <s v="Destornillador set x6"/>
    <n v="20"/>
    <n v="10804"/>
    <n v="216080"/>
    <n v="129640"/>
  </r>
  <r>
    <n v="39"/>
    <s v="Marzo"/>
    <x v="0"/>
    <x v="3"/>
    <x v="3"/>
    <s v="Patricia Salas"/>
    <s v="Breaker 20A"/>
    <n v="43"/>
    <n v="8265"/>
    <n v="355395"/>
    <n v="213237"/>
  </r>
  <r>
    <n v="40"/>
    <s v="Abril"/>
    <x v="1"/>
    <x v="4"/>
    <x v="4"/>
    <s v="Karina Solis"/>
    <s v="Sellador silicona"/>
    <n v="45"/>
    <n v="3347"/>
    <n v="150615"/>
    <n v="90360"/>
  </r>
  <r>
    <n v="41"/>
    <s v="Mayo"/>
    <x v="1"/>
    <x v="0"/>
    <x v="0"/>
    <s v="Juan Mora"/>
    <s v="Malla electrosoldada"/>
    <n v="31"/>
    <n v="15091"/>
    <n v="467821"/>
    <n v="280674"/>
  </r>
  <r>
    <n v="42"/>
    <s v="Junio"/>
    <x v="1"/>
    <x v="1"/>
    <x v="1"/>
    <s v="Sandra Vega"/>
    <s v="Brocha 4 pulgadas"/>
    <n v="5"/>
    <n v="3414"/>
    <n v="17070"/>
    <n v="10240"/>
  </r>
  <r>
    <n v="43"/>
    <s v="Julio"/>
    <x v="2"/>
    <x v="2"/>
    <x v="2"/>
    <s v="Diana Castro"/>
    <s v="Martillo 500g"/>
    <n v="12"/>
    <n v="7849"/>
    <n v="94188"/>
    <n v="56508"/>
  </r>
  <r>
    <n v="44"/>
    <s v="Agosto"/>
    <x v="2"/>
    <x v="3"/>
    <x v="3"/>
    <s v="Fabio Ulate"/>
    <s v="Tomacorriente doble"/>
    <n v="31"/>
    <n v="4248"/>
    <n v="131688"/>
    <n v="78988"/>
  </r>
  <r>
    <n v="45"/>
    <s v="Septiembre"/>
    <x v="2"/>
    <x v="4"/>
    <x v="4"/>
    <s v="Andres Mora"/>
    <s v="Codo 90 PVC 1/2"/>
    <n v="2"/>
    <n v="411"/>
    <n v="822"/>
    <n v="492"/>
  </r>
  <r>
    <n v="46"/>
    <s v="Octubre"/>
    <x v="3"/>
    <x v="0"/>
    <x v="0"/>
    <s v="Ana Vargas"/>
    <s v="Arena (m3)"/>
    <n v="8"/>
    <n v="11023"/>
    <n v="88184"/>
    <n v="52904"/>
  </r>
  <r>
    <n v="47"/>
    <s v="Noviembre"/>
    <x v="3"/>
    <x v="1"/>
    <x v="1"/>
    <s v="Luis Brenes"/>
    <s v="Rodillo de esponja"/>
    <n v="18"/>
    <n v="4628"/>
    <n v="83304"/>
    <n v="49968"/>
  </r>
  <r>
    <n v="48"/>
    <s v="Diciembre"/>
    <x v="3"/>
    <x v="2"/>
    <x v="2"/>
    <s v="Fabiola Rios"/>
    <s v="Nivel de burbuja 60cm"/>
    <n v="44"/>
    <n v="8238"/>
    <n v="362472"/>
    <n v="217448"/>
  </r>
  <r>
    <n v="49"/>
    <s v="Enero"/>
    <x v="0"/>
    <x v="3"/>
    <x v="3"/>
    <s v="Rosa Mendez"/>
    <s v="Cable THHN #12 (m)"/>
    <n v="44"/>
    <n v="772"/>
    <n v="33968"/>
    <n v="20372"/>
  </r>
  <r>
    <n v="50"/>
    <s v="Febrero"/>
    <x v="0"/>
    <x v="4"/>
    <x v="4"/>
    <s v="Karina Solis"/>
    <s v="Llave de paso 1/2"/>
    <n v="3"/>
    <n v="5163"/>
    <n v="15489"/>
    <n v="9291"/>
  </r>
  <r>
    <n v="51"/>
    <s v="Marzo"/>
    <x v="0"/>
    <x v="0"/>
    <x v="0"/>
    <s v="Carlos Solano"/>
    <s v="Varilla #3 (6m)"/>
    <n v="34"/>
    <n v="3204"/>
    <n v="108936"/>
    <n v="65348"/>
  </r>
  <r>
    <n v="52"/>
    <s v="Abril"/>
    <x v="1"/>
    <x v="1"/>
    <x v="1"/>
    <s v="Maria Jimenez"/>
    <s v="Pintura epoxica 1L"/>
    <n v="2"/>
    <n v="26076"/>
    <n v="52152"/>
    <n v="31290"/>
  </r>
  <r>
    <n v="53"/>
    <s v="Mayo"/>
    <x v="1"/>
    <x v="2"/>
    <x v="2"/>
    <s v="Pedro Quesada"/>
    <s v="Taladro percutor"/>
    <n v="44"/>
    <n v="68181"/>
    <n v="2999964"/>
    <n v="1799952"/>
  </r>
  <r>
    <n v="54"/>
    <s v="Junio"/>
    <x v="1"/>
    <x v="3"/>
    <x v="3"/>
    <s v="Patricia Salas"/>
    <s v="Interruptor sencillo"/>
    <n v="10"/>
    <n v="3019"/>
    <n v="30190"/>
    <n v="18110"/>
  </r>
  <r>
    <n v="55"/>
    <s v="Julio"/>
    <x v="2"/>
    <x v="4"/>
    <x v="4"/>
    <s v="Andres Mora"/>
    <s v="Tubo PVC 1/2 (6m)"/>
    <n v="10"/>
    <n v="3541"/>
    <n v="35410"/>
    <n v="21240"/>
  </r>
  <r>
    <n v="56"/>
    <s v="Agosto"/>
    <x v="2"/>
    <x v="0"/>
    <x v="0"/>
    <s v="Rita Ulate"/>
    <s v="Cemento 50kg"/>
    <n v="8"/>
    <n v="8309"/>
    <n v="66472"/>
    <n v="39880"/>
  </r>
  <r>
    <n v="57"/>
    <s v="Septiembre"/>
    <x v="2"/>
    <x v="1"/>
    <x v="1"/>
    <s v="Sandra Vega"/>
    <s v="Thinner industrial"/>
    <n v="15"/>
    <n v="9290"/>
    <n v="139350"/>
    <n v="83610"/>
  </r>
  <r>
    <n v="58"/>
    <s v="Octubre"/>
    <x v="3"/>
    <x v="2"/>
    <x v="2"/>
    <s v="Diana Castro"/>
    <s v="Cinta metrica 5m"/>
    <n v="16"/>
    <n v="3218"/>
    <n v="51488"/>
    <n v="30880"/>
  </r>
  <r>
    <n v="59"/>
    <s v="Noviembre"/>
    <x v="3"/>
    <x v="3"/>
    <x v="3"/>
    <s v="Fabio Ulate"/>
    <s v="Cinta aislante"/>
    <n v="10"/>
    <n v="960"/>
    <n v="9600"/>
    <n v="5760"/>
  </r>
  <r>
    <n v="60"/>
    <s v="Diciembre"/>
    <x v="3"/>
    <x v="4"/>
    <x v="4"/>
    <s v="Karina Solis"/>
    <s v="Tee PVC 1/2"/>
    <n v="10"/>
    <n v="391"/>
    <n v="3910"/>
    <n v="2340"/>
  </r>
  <r>
    <n v="61"/>
    <s v="Enero"/>
    <x v="0"/>
    <x v="0"/>
    <x v="0"/>
    <s v="Juan Mora"/>
    <s v="Bloque 15x20x40"/>
    <n v="30"/>
    <n v="847"/>
    <n v="25410"/>
    <n v="15240"/>
  </r>
  <r>
    <n v="62"/>
    <s v="Febrero"/>
    <x v="0"/>
    <x v="1"/>
    <x v="1"/>
    <s v="Luis Brenes"/>
    <s v="Sellador acrilico"/>
    <n v="13"/>
    <n v="11252"/>
    <n v="146276"/>
    <n v="87763"/>
  </r>
  <r>
    <n v="63"/>
    <s v="Marzo"/>
    <x v="0"/>
    <x v="2"/>
    <x v="2"/>
    <s v="Fabiola Rios"/>
    <s v="Sierra circular 7in"/>
    <n v="42"/>
    <n v="43301"/>
    <n v="1818642"/>
    <n v="1091160"/>
  </r>
  <r>
    <n v="64"/>
    <s v="Abril"/>
    <x v="1"/>
    <x v="3"/>
    <x v="3"/>
    <s v="Rosa Mendez"/>
    <s v="Panel 12 circuitos"/>
    <n v="8"/>
    <n v="41107"/>
    <n v="328856"/>
    <n v="197312"/>
  </r>
  <r>
    <n v="65"/>
    <s v="Mayo"/>
    <x v="1"/>
    <x v="4"/>
    <x v="4"/>
    <s v="Andres Mora"/>
    <s v="Llave de chorro"/>
    <n v="20"/>
    <n v="8001"/>
    <n v="160020"/>
    <n v="96000"/>
  </r>
  <r>
    <n v="66"/>
    <s v="Junio"/>
    <x v="1"/>
    <x v="0"/>
    <x v="0"/>
    <s v="Ana Vargas"/>
    <s v="Regla aluminio 2m"/>
    <n v="41"/>
    <n v="4318"/>
    <n v="177038"/>
    <n v="106190"/>
  </r>
  <r>
    <n v="67"/>
    <s v="Julio"/>
    <x v="2"/>
    <x v="1"/>
    <x v="1"/>
    <s v="Maria Jimenez"/>
    <s v="Pintura blanca 4L"/>
    <n v="45"/>
    <n v="16199"/>
    <n v="728955"/>
    <n v="437355"/>
  </r>
  <r>
    <n v="68"/>
    <s v="Agosto"/>
    <x v="2"/>
    <x v="2"/>
    <x v="2"/>
    <s v="Pedro Quesada"/>
    <s v="Destornillador set x6"/>
    <n v="2"/>
    <n v="11462"/>
    <n v="22924"/>
    <n v="13754"/>
  </r>
  <r>
    <n v="69"/>
    <s v="Septiembre"/>
    <x v="2"/>
    <x v="3"/>
    <x v="3"/>
    <s v="Patricia Salas"/>
    <s v="Breaker 20A"/>
    <n v="26"/>
    <n v="7602"/>
    <n v="197652"/>
    <n v="118586"/>
  </r>
  <r>
    <n v="70"/>
    <s v="Octubre"/>
    <x v="3"/>
    <x v="4"/>
    <x v="4"/>
    <s v="Karina Solis"/>
    <s v="Sellador silicona"/>
    <n v="20"/>
    <n v="3133"/>
    <n v="62660"/>
    <n v="37580"/>
  </r>
  <r>
    <n v="71"/>
    <s v="Noviembre"/>
    <x v="3"/>
    <x v="0"/>
    <x v="0"/>
    <s v="Carlos Solano"/>
    <s v="Malla electrosoldada"/>
    <n v="31"/>
    <n v="15930"/>
    <n v="493830"/>
    <n v="296298"/>
  </r>
  <r>
    <n v="72"/>
    <s v="Diciembre"/>
    <x v="3"/>
    <x v="1"/>
    <x v="1"/>
    <s v="Sandra Vega"/>
    <s v="Brocha 4 pulgadas"/>
    <n v="6"/>
    <n v="3249"/>
    <n v="19494"/>
    <n v="11694"/>
  </r>
  <r>
    <n v="73"/>
    <s v="Enero"/>
    <x v="0"/>
    <x v="2"/>
    <x v="2"/>
    <s v="Diana Castro"/>
    <s v="Martillo 500g"/>
    <n v="15"/>
    <n v="9289"/>
    <n v="139335"/>
    <n v="83595"/>
  </r>
  <r>
    <n v="74"/>
    <s v="Febrero"/>
    <x v="0"/>
    <x v="3"/>
    <x v="3"/>
    <s v="Fabio Ulate"/>
    <s v="Tomacorriente doble"/>
    <n v="2"/>
    <n v="4368"/>
    <n v="8736"/>
    <n v="5240"/>
  </r>
  <r>
    <n v="75"/>
    <s v="Marzo"/>
    <x v="0"/>
    <x v="4"/>
    <x v="4"/>
    <s v="Andres Mora"/>
    <s v="Codo 90 PVC 1/2"/>
    <n v="35"/>
    <n v="411"/>
    <n v="14385"/>
    <n v="8610"/>
  </r>
  <r>
    <n v="76"/>
    <s v="Abril"/>
    <x v="1"/>
    <x v="0"/>
    <x v="0"/>
    <s v="Rita Ulate"/>
    <s v="Arena (m3)"/>
    <n v="37"/>
    <n v="12293"/>
    <n v="454841"/>
    <n v="272875"/>
  </r>
  <r>
    <n v="77"/>
    <s v="Mayo"/>
    <x v="1"/>
    <x v="1"/>
    <x v="1"/>
    <s v="Luis Brenes"/>
    <s v="Rodillo de esponja"/>
    <n v="23"/>
    <n v="4693"/>
    <n v="107939"/>
    <n v="64745"/>
  </r>
  <r>
    <n v="78"/>
    <s v="Junio"/>
    <x v="1"/>
    <x v="2"/>
    <x v="2"/>
    <s v="Fabiola Rios"/>
    <s v="Nivel de burbuja 60cm"/>
    <n v="13"/>
    <n v="7453"/>
    <n v="96889"/>
    <n v="58123"/>
  </r>
  <r>
    <n v="79"/>
    <s v="Julio"/>
    <x v="2"/>
    <x v="3"/>
    <x v="3"/>
    <s v="Rosa Mendez"/>
    <s v="Cable THHN #12 (m)"/>
    <n v="40"/>
    <n v="908"/>
    <n v="36320"/>
    <n v="21760"/>
  </r>
  <r>
    <n v="80"/>
    <s v="Agosto"/>
    <x v="2"/>
    <x v="4"/>
    <x v="4"/>
    <s v="Karina Solis"/>
    <s v="Llave de paso 1/2"/>
    <n v="8"/>
    <n v="4952"/>
    <n v="39616"/>
    <n v="23768"/>
  </r>
  <r>
    <n v="81"/>
    <s v="Septiembre"/>
    <x v="2"/>
    <x v="0"/>
    <x v="0"/>
    <s v="Juan Mora"/>
    <s v="Varilla #3 (6m)"/>
    <n v="4"/>
    <n v="3015"/>
    <n v="12060"/>
    <n v="7236"/>
  </r>
  <r>
    <n v="82"/>
    <s v="Octubre"/>
    <x v="3"/>
    <x v="1"/>
    <x v="1"/>
    <s v="Maria Jimenez"/>
    <s v="Pintura epoxica 1L"/>
    <n v="15"/>
    <n v="28662"/>
    <n v="429930"/>
    <n v="257955"/>
  </r>
  <r>
    <n v="83"/>
    <s v="Noviembre"/>
    <x v="3"/>
    <x v="2"/>
    <x v="2"/>
    <s v="Pedro Quesada"/>
    <s v="Taladro percutor"/>
    <n v="27"/>
    <n v="67451"/>
    <n v="1821177"/>
    <n v="1092690"/>
  </r>
  <r>
    <n v="84"/>
    <s v="Diciembre"/>
    <x v="3"/>
    <x v="3"/>
    <x v="3"/>
    <s v="Patricia Salas"/>
    <s v="Interruptor sencillo"/>
    <n v="7"/>
    <n v="2846"/>
    <n v="19922"/>
    <n v="11949"/>
  </r>
  <r>
    <n v="85"/>
    <s v="Enero"/>
    <x v="0"/>
    <x v="4"/>
    <x v="4"/>
    <s v="Andres Mora"/>
    <s v="Tubo PVC 1/2 (6m)"/>
    <n v="25"/>
    <n v="3808"/>
    <n v="95200"/>
    <n v="57100"/>
  </r>
  <r>
    <n v="86"/>
    <s v="Febrero"/>
    <x v="0"/>
    <x v="0"/>
    <x v="0"/>
    <s v="Ana Vargas"/>
    <s v="Cemento 50kg"/>
    <n v="30"/>
    <n v="7734"/>
    <n v="232020"/>
    <n v="139200"/>
  </r>
  <r>
    <n v="87"/>
    <s v="Marzo"/>
    <x v="0"/>
    <x v="1"/>
    <x v="1"/>
    <s v="Sandra Vega"/>
    <s v="Thinner industrial"/>
    <n v="43"/>
    <n v="9089"/>
    <n v="390827"/>
    <n v="234479"/>
  </r>
  <r>
    <n v="88"/>
    <s v="Abril"/>
    <x v="1"/>
    <x v="2"/>
    <x v="2"/>
    <s v="Diana Castro"/>
    <s v="Cinta metrica 5m"/>
    <n v="41"/>
    <n v="3413"/>
    <n v="139933"/>
    <n v="83927"/>
  </r>
  <r>
    <n v="89"/>
    <s v="Mayo"/>
    <x v="1"/>
    <x v="3"/>
    <x v="3"/>
    <s v="Fabio Ulate"/>
    <s v="Cinta aislante"/>
    <n v="37"/>
    <n v="930"/>
    <n v="34410"/>
    <n v="20646"/>
  </r>
  <r>
    <n v="90"/>
    <s v="Junio"/>
    <x v="1"/>
    <x v="4"/>
    <x v="4"/>
    <s v="Karina Solis"/>
    <s v="Tee PVC 1/2"/>
    <n v="18"/>
    <n v="342"/>
    <n v="6156"/>
    <n v="36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0B1F2-2FB4-244D-8A26-33BFE449C922}" name="PivotTable1" cacheId="0" applyNumberFormats="0" applyBorderFormats="0" applyFontFormats="0" applyPatternFormats="0" applyAlignmentFormats="0" applyWidthHeightFormats="1" dataCaption="Values" errorCaption="n.a." showError="1" updatedVersion="8" minRefreshableVersion="3" useAutoFormatting="1" itemPrintTitles="1" createdVersion="8" indent="0" outline="1" outlineData="1" multipleFieldFilters="0">
  <location ref="R6:AD14" firstHeaderRow="1" firstDataRow="3" firstDataCol="1"/>
  <pivotFields count="12">
    <pivotField showAll="0"/>
    <pivotField showAll="0"/>
    <pivotField showAll="0">
      <items count="5">
        <item x="0"/>
        <item x="1"/>
        <item x="2"/>
        <item x="3"/>
        <item t="default"/>
      </items>
    </pivotField>
    <pivotField axis="axisRow" showAll="0">
      <items count="6">
        <item x="3"/>
        <item x="1"/>
        <item x="0"/>
        <item x="2"/>
        <item x="4"/>
        <item t="default"/>
      </items>
    </pivotField>
    <pivotField axis="axisCol" showAll="0">
      <items count="6">
        <item x="0"/>
        <item x="3"/>
        <item x="2"/>
        <item x="1"/>
        <item x="4"/>
        <item t="default"/>
      </items>
    </pivotField>
    <pivotField showAll="0"/>
    <pivotField showAll="0"/>
    <pivotField numFmtId="3" showAll="0"/>
    <pivotField numFmtId="3" showAll="0"/>
    <pivotField dataField="1" numFmtId="3" showAll="0"/>
    <pivotField numFmtId="3" showAll="0"/>
    <pivotField dataField="1" dragToRow="0" dragToCol="0" dragToPage="0" showAll="0" defaultSubtotal="0"/>
  </pivotFields>
  <rowFields count="1">
    <field x="3"/>
  </rowFields>
  <rowItems count="6">
    <i>
      <x/>
    </i>
    <i>
      <x v="1"/>
    </i>
    <i>
      <x v="2"/>
    </i>
    <i>
      <x v="3"/>
    </i>
    <i>
      <x v="4"/>
    </i>
    <i t="grand">
      <x/>
    </i>
  </rowItems>
  <colFields count="2">
    <field x="4"/>
    <field x="-2"/>
  </colFields>
  <colItems count="12">
    <i>
      <x/>
      <x/>
    </i>
    <i r="1" i="1">
      <x v="1"/>
    </i>
    <i>
      <x v="1"/>
      <x/>
    </i>
    <i r="1" i="1">
      <x v="1"/>
    </i>
    <i>
      <x v="2"/>
      <x/>
    </i>
    <i r="1" i="1">
      <x v="1"/>
    </i>
    <i>
      <x v="3"/>
      <x/>
    </i>
    <i r="1" i="1">
      <x v="1"/>
    </i>
    <i>
      <x v="4"/>
      <x/>
    </i>
    <i r="1" i="1">
      <x v="1"/>
    </i>
    <i t="grand">
      <x/>
    </i>
    <i t="grand" i="1">
      <x/>
    </i>
  </colItems>
  <dataFields count="2">
    <dataField name="Sum of Total Venta" fld="9" baseField="0" baseItem="0" numFmtId="3"/>
    <dataField name="Sum of margen" fld="11" baseField="0" baseItem="0" numFmtId="3"/>
  </dataFields>
  <formats count="29">
    <format dxfId="0">
      <pivotArea type="all" dataOnly="0" outline="0" fieldPosition="0"/>
    </format>
    <format dxfId="1">
      <pivotArea outline="0" collapsedLevelsAreSubtotals="1" fieldPosition="0"/>
    </format>
    <format dxfId="2">
      <pivotArea type="origin" dataOnly="0" labelOnly="1" outline="0" fieldPosition="0"/>
    </format>
    <format dxfId="3">
      <pivotArea field="4" type="button" dataOnly="0" labelOnly="1" outline="0" axis="axisCol" fieldPosition="0"/>
    </format>
    <format dxfId="4">
      <pivotArea field="-2" type="button" dataOnly="0" labelOnly="1" outline="0" axis="axisCol" fieldPosition="1"/>
    </format>
    <format dxfId="5">
      <pivotArea type="topRight" dataOnly="0" labelOnly="1" outline="0" fieldPosition="0"/>
    </format>
    <format dxfId="6">
      <pivotArea field="3" type="button" dataOnly="0" labelOnly="1" outline="0" axis="axisRow" fieldPosition="0"/>
    </format>
    <format dxfId="7">
      <pivotArea dataOnly="0" labelOnly="1" fieldPosition="0">
        <references count="1">
          <reference field="3" count="0"/>
        </references>
      </pivotArea>
    </format>
    <format dxfId="8">
      <pivotArea dataOnly="0" labelOnly="1" grandRow="1" outline="0" fieldPosition="0"/>
    </format>
    <format dxfId="9">
      <pivotArea dataOnly="0" labelOnly="1" fieldPosition="0">
        <references count="1">
          <reference field="4" count="0"/>
        </references>
      </pivotArea>
    </format>
    <format dxfId="10">
      <pivotArea field="4" dataOnly="0" labelOnly="1" grandCol="1" outline="0" axis="axisCol" fieldPosition="0">
        <references count="1">
          <reference field="4294967294" count="1" selected="0">
            <x v="0"/>
          </reference>
        </references>
      </pivotArea>
    </format>
    <format dxfId="11">
      <pivotArea field="4" dataOnly="0" labelOnly="1" grandCol="1" outline="0" axis="axisCol" fieldPosition="0">
        <references count="1">
          <reference field="4294967294" count="1" selected="0">
            <x v="1"/>
          </reference>
        </references>
      </pivotArea>
    </format>
    <format dxfId="12">
      <pivotArea dataOnly="0" labelOnly="1" outline="0" fieldPosition="0">
        <references count="2">
          <reference field="4294967294" count="2">
            <x v="0"/>
            <x v="1"/>
          </reference>
          <reference field="4" count="1" selected="0">
            <x v="0"/>
          </reference>
        </references>
      </pivotArea>
    </format>
    <format dxfId="13">
      <pivotArea dataOnly="0" labelOnly="1" outline="0" fieldPosition="0">
        <references count="2">
          <reference field="4294967294" count="2">
            <x v="0"/>
            <x v="1"/>
          </reference>
          <reference field="4" count="1" selected="0">
            <x v="1"/>
          </reference>
        </references>
      </pivotArea>
    </format>
    <format dxfId="14">
      <pivotArea dataOnly="0" labelOnly="1" outline="0" fieldPosition="0">
        <references count="2">
          <reference field="4294967294" count="2">
            <x v="0"/>
            <x v="1"/>
          </reference>
          <reference field="4" count="1" selected="0">
            <x v="2"/>
          </reference>
        </references>
      </pivotArea>
    </format>
    <format dxfId="15">
      <pivotArea dataOnly="0" labelOnly="1" outline="0" fieldPosition="0">
        <references count="2">
          <reference field="4294967294" count="2">
            <x v="0"/>
            <x v="1"/>
          </reference>
          <reference field="4" count="1" selected="0">
            <x v="3"/>
          </reference>
        </references>
      </pivotArea>
    </format>
    <format dxfId="16">
      <pivotArea dataOnly="0" labelOnly="1" outline="0" fieldPosition="0">
        <references count="2">
          <reference field="4294967294" count="2">
            <x v="0"/>
            <x v="1"/>
          </reference>
          <reference field="4" count="1" selected="0">
            <x v="4"/>
          </reference>
        </references>
      </pivotArea>
    </format>
    <format dxfId="17">
      <pivotArea collapsedLevelsAreSubtotals="1" fieldPosition="0">
        <references count="3">
          <reference field="4294967294" count="1" selected="0">
            <x v="0"/>
          </reference>
          <reference field="3" count="1">
            <x v="2"/>
          </reference>
          <reference field="4" count="1" selected="0">
            <x v="0"/>
          </reference>
        </references>
      </pivotArea>
    </format>
    <format dxfId="18">
      <pivotArea collapsedLevelsAreSubtotals="1" fieldPosition="0">
        <references count="3">
          <reference field="4294967294" count="1" selected="0">
            <x v="0"/>
          </reference>
          <reference field="3" count="1">
            <x v="0"/>
          </reference>
          <reference field="4" count="1" selected="0">
            <x v="1"/>
          </reference>
        </references>
      </pivotArea>
    </format>
    <format dxfId="19">
      <pivotArea collapsedLevelsAreSubtotals="1" fieldPosition="0">
        <references count="3">
          <reference field="4294967294" count="1" selected="0">
            <x v="0"/>
          </reference>
          <reference field="3" count="1">
            <x v="3"/>
          </reference>
          <reference field="4" count="1" selected="0">
            <x v="2"/>
          </reference>
        </references>
      </pivotArea>
    </format>
    <format dxfId="20">
      <pivotArea collapsedLevelsAreSubtotals="1" fieldPosition="0">
        <references count="3">
          <reference field="4294967294" count="1" selected="0">
            <x v="0"/>
          </reference>
          <reference field="3" count="1">
            <x v="1"/>
          </reference>
          <reference field="4" count="1" selected="0">
            <x v="3"/>
          </reference>
        </references>
      </pivotArea>
    </format>
    <format dxfId="21">
      <pivotArea collapsedLevelsAreSubtotals="1" fieldPosition="0">
        <references count="3">
          <reference field="4294967294" count="1" selected="0">
            <x v="0"/>
          </reference>
          <reference field="3" count="1">
            <x v="4"/>
          </reference>
          <reference field="4" count="1" selected="0">
            <x v="4"/>
          </reference>
        </references>
      </pivotArea>
    </format>
    <format dxfId="22">
      <pivotArea field="4" grandRow="1" outline="0" collapsedLevelsAreSubtotals="1" axis="axisCol" fieldPosition="0">
        <references count="2">
          <reference field="4294967294" count="1" selected="0">
            <x v="0"/>
          </reference>
          <reference field="4" count="1" selected="0">
            <x v="0"/>
          </reference>
        </references>
      </pivotArea>
    </format>
    <format dxfId="23">
      <pivotArea field="4" grandRow="1" outline="0" collapsedLevelsAreSubtotals="1" axis="axisCol" fieldPosition="0">
        <references count="2">
          <reference field="4294967294" count="1" selected="0">
            <x v="0"/>
          </reference>
          <reference field="4" count="1" selected="0">
            <x v="1"/>
          </reference>
        </references>
      </pivotArea>
    </format>
    <format dxfId="24">
      <pivotArea field="4" grandRow="1" outline="0" collapsedLevelsAreSubtotals="1" axis="axisCol" fieldPosition="0">
        <references count="2">
          <reference field="4294967294" count="1" selected="0">
            <x v="0"/>
          </reference>
          <reference field="4" count="1" selected="0">
            <x v="2"/>
          </reference>
        </references>
      </pivotArea>
    </format>
    <format dxfId="25">
      <pivotArea field="4" grandRow="1" outline="0" collapsedLevelsAreSubtotals="1" axis="axisCol" fieldPosition="0">
        <references count="2">
          <reference field="4294967294" count="1" selected="0">
            <x v="0"/>
          </reference>
          <reference field="4" count="1" selected="0">
            <x v="3"/>
          </reference>
        </references>
      </pivotArea>
    </format>
    <format dxfId="26">
      <pivotArea field="4" grandRow="1" outline="0" collapsedLevelsAreSubtotals="1" axis="axisCol" fieldPosition="0">
        <references count="2">
          <reference field="4294967294" count="1" selected="0">
            <x v="0"/>
          </reference>
          <reference field="4" count="1" selected="0">
            <x v="4"/>
          </reference>
        </references>
      </pivotArea>
    </format>
    <format dxfId="27">
      <pivotArea grandRow="1" grandCol="1" outline="0" collapsedLevelsAreSubtotals="1" fieldPosition="0">
        <references count="1">
          <reference field="4294967294" count="1" selected="0">
            <x v="0"/>
          </reference>
        </references>
      </pivotArea>
    </format>
    <format dxfId="28">
      <pivotArea field="3" grandCol="1" collapsedLevelsAreSubtotals="1" axis="axisRow" fieldPosition="0">
        <references count="2">
          <reference field="4294967294" count="1" selected="0">
            <x v="0"/>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m" xr10:uid="{960048E2-7C0E-F04D-A791-000E2A171DF7}" sourceName="Trim">
  <pivotTables>
    <pivotTable tabId="6" name="PivotTable1"/>
  </pivotTables>
  <data>
    <tabular pivotCacheId="205804093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im" xr10:uid="{6624CBDA-2B8C-0B40-AE96-3E4BDC92C816}" cache="Slicer_Trim" caption="Trim"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07D2A"/>
  </sheetPr>
  <dimension ref="A1:D27"/>
  <sheetViews>
    <sheetView topLeftCell="A10" zoomScale="150" workbookViewId="0">
      <selection activeCell="E6" sqref="E6"/>
    </sheetView>
  </sheetViews>
  <sheetFormatPr baseColWidth="10" defaultColWidth="8.83203125" defaultRowHeight="15" x14ac:dyDescent="0.2"/>
  <cols>
    <col min="1" max="1" width="37.5" customWidth="1"/>
    <col min="2" max="2" width="32" customWidth="1"/>
    <col min="3" max="3" width="22" customWidth="1"/>
    <col min="4" max="4" width="12" customWidth="1"/>
  </cols>
  <sheetData>
    <row r="1" spans="1:4" ht="40" customHeight="1" x14ac:dyDescent="0.2">
      <c r="A1" s="46" t="s">
        <v>0</v>
      </c>
      <c r="B1" s="30"/>
      <c r="C1" s="30"/>
      <c r="D1" s="31"/>
    </row>
    <row r="2" spans="1:4" ht="18" customHeight="1" x14ac:dyDescent="0.2">
      <c r="A2" s="50" t="s">
        <v>1</v>
      </c>
      <c r="B2" s="30"/>
      <c r="C2" s="30"/>
      <c r="D2" s="31"/>
    </row>
    <row r="3" spans="1:4" ht="6" customHeight="1" x14ac:dyDescent="0.2"/>
    <row r="4" spans="1:4" ht="40" customHeight="1" x14ac:dyDescent="0.2">
      <c r="A4" s="1" t="s">
        <v>2</v>
      </c>
      <c r="B4" s="51" t="s">
        <v>3</v>
      </c>
      <c r="C4" s="31"/>
    </row>
    <row r="5" spans="1:4" ht="6" customHeight="1" x14ac:dyDescent="0.2"/>
    <row r="6" spans="1:4" ht="20" customHeight="1" x14ac:dyDescent="0.2">
      <c r="A6" s="2" t="s">
        <v>4</v>
      </c>
      <c r="B6" s="47" t="s">
        <v>5</v>
      </c>
      <c r="C6" s="31"/>
    </row>
    <row r="7" spans="1:4" ht="20" customHeight="1" x14ac:dyDescent="0.2">
      <c r="A7" s="2" t="s">
        <v>6</v>
      </c>
      <c r="B7" s="53" t="s">
        <v>7</v>
      </c>
      <c r="C7" s="31"/>
    </row>
    <row r="8" spans="1:4" ht="20" customHeight="1" x14ac:dyDescent="0.2">
      <c r="A8" s="2" t="s">
        <v>8</v>
      </c>
      <c r="B8" s="53" t="s">
        <v>9</v>
      </c>
      <c r="C8" s="31"/>
    </row>
    <row r="9" spans="1:4" ht="6" customHeight="1" x14ac:dyDescent="0.2"/>
    <row r="10" spans="1:4" ht="36" customHeight="1" x14ac:dyDescent="0.2">
      <c r="A10" s="44" t="s">
        <v>10</v>
      </c>
      <c r="B10" s="30"/>
      <c r="C10" s="30"/>
      <c r="D10" s="31"/>
    </row>
    <row r="11" spans="1:4" ht="6" customHeight="1" x14ac:dyDescent="0.2"/>
    <row r="12" spans="1:4" ht="22" customHeight="1" x14ac:dyDescent="0.2">
      <c r="A12" s="45" t="s">
        <v>11</v>
      </c>
      <c r="B12" s="30"/>
      <c r="C12" s="30"/>
      <c r="D12" s="31"/>
    </row>
    <row r="13" spans="1:4" ht="20" customHeight="1" x14ac:dyDescent="0.2">
      <c r="A13" s="3" t="s">
        <v>12</v>
      </c>
      <c r="B13" s="49" t="s">
        <v>13</v>
      </c>
      <c r="C13" s="40"/>
    </row>
    <row r="14" spans="1:4" ht="20" customHeight="1" x14ac:dyDescent="0.2">
      <c r="A14" s="3" t="s">
        <v>14</v>
      </c>
      <c r="B14" s="49" t="s">
        <v>15</v>
      </c>
      <c r="C14" s="40"/>
    </row>
    <row r="15" spans="1:4" ht="20" customHeight="1" x14ac:dyDescent="0.2">
      <c r="A15" s="3" t="s">
        <v>16</v>
      </c>
      <c r="B15" s="49" t="s">
        <v>17</v>
      </c>
      <c r="C15" s="40"/>
    </row>
    <row r="16" spans="1:4" ht="6" customHeight="1" x14ac:dyDescent="0.2"/>
    <row r="17" spans="1:4" ht="22" customHeight="1" x14ac:dyDescent="0.2">
      <c r="A17" s="52" t="s">
        <v>18</v>
      </c>
      <c r="B17" s="30"/>
      <c r="C17" s="30"/>
      <c r="D17" s="31"/>
    </row>
    <row r="18" spans="1:4" ht="20" customHeight="1" x14ac:dyDescent="0.2">
      <c r="A18" s="5" t="s">
        <v>19</v>
      </c>
      <c r="B18" s="54" t="s">
        <v>20</v>
      </c>
      <c r="C18" s="31"/>
    </row>
    <row r="19" spans="1:4" ht="32" customHeight="1" x14ac:dyDescent="0.2">
      <c r="A19" s="3" t="s">
        <v>21</v>
      </c>
      <c r="B19" s="32" t="s">
        <v>22</v>
      </c>
      <c r="C19" s="31"/>
    </row>
    <row r="20" spans="1:4" ht="34" customHeight="1" x14ac:dyDescent="0.2">
      <c r="A20" s="8" t="s">
        <v>23</v>
      </c>
      <c r="B20" s="48" t="s">
        <v>24</v>
      </c>
      <c r="C20" s="31"/>
    </row>
    <row r="21" spans="1:4" ht="26" customHeight="1" x14ac:dyDescent="0.2">
      <c r="A21" s="3" t="s">
        <v>25</v>
      </c>
      <c r="B21" s="32" t="s">
        <v>26</v>
      </c>
      <c r="C21" s="31"/>
    </row>
    <row r="22" spans="1:4" ht="24" customHeight="1" x14ac:dyDescent="0.2">
      <c r="A22" s="8" t="s">
        <v>27</v>
      </c>
      <c r="B22" s="48" t="s">
        <v>28</v>
      </c>
      <c r="C22" s="31"/>
    </row>
    <row r="23" spans="1:4" ht="34" customHeight="1" x14ac:dyDescent="0.2">
      <c r="A23" s="3" t="s">
        <v>29</v>
      </c>
      <c r="B23" s="32" t="s">
        <v>30</v>
      </c>
      <c r="C23" s="31"/>
    </row>
    <row r="24" spans="1:4" ht="16" customHeight="1" x14ac:dyDescent="0.2">
      <c r="A24" s="8" t="s">
        <v>31</v>
      </c>
      <c r="B24" s="48" t="s">
        <v>32</v>
      </c>
      <c r="C24" s="31"/>
    </row>
    <row r="25" spans="1:4" ht="16" customHeight="1" x14ac:dyDescent="0.2">
      <c r="A25" s="3" t="s">
        <v>33</v>
      </c>
      <c r="B25" s="32" t="s">
        <v>34</v>
      </c>
      <c r="C25" s="31"/>
    </row>
    <row r="26" spans="1:4" ht="16" customHeight="1" x14ac:dyDescent="0.2">
      <c r="A26" s="8" t="s">
        <v>35</v>
      </c>
      <c r="B26" s="48" t="s">
        <v>36</v>
      </c>
      <c r="C26" s="31"/>
    </row>
    <row r="27" spans="1:4" ht="16" customHeight="1" x14ac:dyDescent="0.2">
      <c r="A27" s="3" t="s">
        <v>37</v>
      </c>
      <c r="B27" s="32" t="s">
        <v>38</v>
      </c>
      <c r="C27" s="31"/>
    </row>
  </sheetData>
  <mergeCells count="22">
    <mergeCell ref="B25:C25"/>
    <mergeCell ref="B22:C22"/>
    <mergeCell ref="B27:C27"/>
    <mergeCell ref="A10:D10"/>
    <mergeCell ref="B18:C18"/>
    <mergeCell ref="B21:C21"/>
    <mergeCell ref="B23:C23"/>
    <mergeCell ref="B14:C14"/>
    <mergeCell ref="B13:C13"/>
    <mergeCell ref="B26:C26"/>
    <mergeCell ref="A1:D1"/>
    <mergeCell ref="B19:C19"/>
    <mergeCell ref="B6:C6"/>
    <mergeCell ref="B24:C24"/>
    <mergeCell ref="B15:C15"/>
    <mergeCell ref="A12:D12"/>
    <mergeCell ref="B20:C20"/>
    <mergeCell ref="A2:D2"/>
    <mergeCell ref="B4:C4"/>
    <mergeCell ref="A17:D17"/>
    <mergeCell ref="B7:C7"/>
    <mergeCell ref="B8: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E33"/>
  <sheetViews>
    <sheetView workbookViewId="0">
      <selection sqref="A1:E1"/>
    </sheetView>
  </sheetViews>
  <sheetFormatPr baseColWidth="10" defaultColWidth="8.83203125" defaultRowHeight="15" x14ac:dyDescent="0.2"/>
  <cols>
    <col min="1" max="1" width="12" customWidth="1"/>
    <col min="2" max="2" width="30" customWidth="1"/>
    <col min="3" max="3" width="16" customWidth="1"/>
    <col min="4" max="5" width="12" customWidth="1"/>
  </cols>
  <sheetData>
    <row r="1" spans="1:5" ht="32" customHeight="1" x14ac:dyDescent="0.2">
      <c r="A1" s="56" t="s">
        <v>39</v>
      </c>
      <c r="B1" s="30"/>
      <c r="C1" s="30"/>
      <c r="D1" s="30"/>
      <c r="E1" s="31"/>
    </row>
    <row r="2" spans="1:5" ht="18" customHeight="1" x14ac:dyDescent="0.2">
      <c r="A2" s="55" t="s">
        <v>40</v>
      </c>
      <c r="B2" s="30"/>
      <c r="C2" s="30"/>
      <c r="D2" s="30"/>
      <c r="E2" s="31"/>
    </row>
    <row r="3" spans="1:5" x14ac:dyDescent="0.2">
      <c r="A3" s="5" t="s">
        <v>41</v>
      </c>
      <c r="B3" s="6" t="s">
        <v>42</v>
      </c>
      <c r="C3" s="6" t="s">
        <v>43</v>
      </c>
      <c r="D3" s="6" t="s">
        <v>44</v>
      </c>
      <c r="E3" s="6" t="s">
        <v>45</v>
      </c>
    </row>
    <row r="4" spans="1:5" ht="16" customHeight="1" x14ac:dyDescent="0.2">
      <c r="A4" s="8" t="s">
        <v>46</v>
      </c>
      <c r="B4" s="9" t="s">
        <v>47</v>
      </c>
      <c r="C4" s="9" t="s">
        <v>48</v>
      </c>
      <c r="D4" s="10">
        <v>850</v>
      </c>
      <c r="E4" s="10">
        <v>510</v>
      </c>
    </row>
    <row r="5" spans="1:5" ht="16" customHeight="1" x14ac:dyDescent="0.2">
      <c r="A5" s="3" t="s">
        <v>49</v>
      </c>
      <c r="B5" s="7" t="s">
        <v>50</v>
      </c>
      <c r="C5" s="7" t="s">
        <v>48</v>
      </c>
      <c r="D5" s="11">
        <v>8500</v>
      </c>
      <c r="E5" s="11">
        <v>5100</v>
      </c>
    </row>
    <row r="6" spans="1:5" ht="16" customHeight="1" x14ac:dyDescent="0.2">
      <c r="A6" s="8" t="s">
        <v>51</v>
      </c>
      <c r="B6" s="9" t="s">
        <v>52</v>
      </c>
      <c r="C6" s="9" t="s">
        <v>48</v>
      </c>
      <c r="D6" s="10">
        <v>3200</v>
      </c>
      <c r="E6" s="10">
        <v>1920</v>
      </c>
    </row>
    <row r="7" spans="1:5" ht="16" customHeight="1" x14ac:dyDescent="0.2">
      <c r="A7" s="3" t="s">
        <v>53</v>
      </c>
      <c r="B7" s="7" t="s">
        <v>54</v>
      </c>
      <c r="C7" s="7" t="s">
        <v>48</v>
      </c>
      <c r="D7" s="11">
        <v>12000</v>
      </c>
      <c r="E7" s="11">
        <v>7200</v>
      </c>
    </row>
    <row r="8" spans="1:5" ht="16" customHeight="1" x14ac:dyDescent="0.2">
      <c r="A8" s="8" t="s">
        <v>55</v>
      </c>
      <c r="B8" s="9" t="s">
        <v>56</v>
      </c>
      <c r="C8" s="9" t="s">
        <v>48</v>
      </c>
      <c r="D8" s="10">
        <v>15000</v>
      </c>
      <c r="E8" s="10">
        <v>9000</v>
      </c>
    </row>
    <row r="9" spans="1:5" ht="16" customHeight="1" x14ac:dyDescent="0.2">
      <c r="A9" s="3" t="s">
        <v>57</v>
      </c>
      <c r="B9" s="7" t="s">
        <v>58</v>
      </c>
      <c r="C9" s="7" t="s">
        <v>48</v>
      </c>
      <c r="D9" s="11">
        <v>4500</v>
      </c>
      <c r="E9" s="11">
        <v>2700</v>
      </c>
    </row>
    <row r="10" spans="1:5" ht="16" customHeight="1" x14ac:dyDescent="0.2">
      <c r="A10" s="8" t="s">
        <v>59</v>
      </c>
      <c r="B10" s="9" t="s">
        <v>60</v>
      </c>
      <c r="C10" s="9" t="s">
        <v>61</v>
      </c>
      <c r="D10" s="10">
        <v>15500</v>
      </c>
      <c r="E10" s="10">
        <v>9300</v>
      </c>
    </row>
    <row r="11" spans="1:5" ht="16" customHeight="1" x14ac:dyDescent="0.2">
      <c r="A11" s="3" t="s">
        <v>62</v>
      </c>
      <c r="B11" s="7" t="s">
        <v>63</v>
      </c>
      <c r="C11" s="7" t="s">
        <v>61</v>
      </c>
      <c r="D11" s="11">
        <v>12000</v>
      </c>
      <c r="E11" s="11">
        <v>7200</v>
      </c>
    </row>
    <row r="12" spans="1:5" ht="16" customHeight="1" x14ac:dyDescent="0.2">
      <c r="A12" s="8" t="s">
        <v>64</v>
      </c>
      <c r="B12" s="9" t="s">
        <v>65</v>
      </c>
      <c r="C12" s="9" t="s">
        <v>61</v>
      </c>
      <c r="D12" s="10">
        <v>9800</v>
      </c>
      <c r="E12" s="10">
        <v>5880</v>
      </c>
    </row>
    <row r="13" spans="1:5" ht="16" customHeight="1" x14ac:dyDescent="0.2">
      <c r="A13" s="3" t="s">
        <v>66</v>
      </c>
      <c r="B13" s="7" t="s">
        <v>67</v>
      </c>
      <c r="C13" s="7" t="s">
        <v>61</v>
      </c>
      <c r="D13" s="11">
        <v>28000</v>
      </c>
      <c r="E13" s="11">
        <v>16800</v>
      </c>
    </row>
    <row r="14" spans="1:5" ht="16" customHeight="1" x14ac:dyDescent="0.2">
      <c r="A14" s="8" t="s">
        <v>68</v>
      </c>
      <c r="B14" s="9" t="s">
        <v>69</v>
      </c>
      <c r="C14" s="9" t="s">
        <v>61</v>
      </c>
      <c r="D14" s="10">
        <v>4500</v>
      </c>
      <c r="E14" s="10">
        <v>2700</v>
      </c>
    </row>
    <row r="15" spans="1:5" ht="16" customHeight="1" x14ac:dyDescent="0.2">
      <c r="A15" s="3" t="s">
        <v>70</v>
      </c>
      <c r="B15" s="7" t="s">
        <v>71</v>
      </c>
      <c r="C15" s="7" t="s">
        <v>61</v>
      </c>
      <c r="D15" s="11">
        <v>3200</v>
      </c>
      <c r="E15" s="11">
        <v>1920</v>
      </c>
    </row>
    <row r="16" spans="1:5" ht="16" customHeight="1" x14ac:dyDescent="0.2">
      <c r="A16" s="8" t="s">
        <v>72</v>
      </c>
      <c r="B16" s="9" t="s">
        <v>73</v>
      </c>
      <c r="C16" s="9" t="s">
        <v>74</v>
      </c>
      <c r="D16" s="10">
        <v>8500</v>
      </c>
      <c r="E16" s="10">
        <v>5100</v>
      </c>
    </row>
    <row r="17" spans="1:5" ht="16" customHeight="1" x14ac:dyDescent="0.2">
      <c r="A17" s="3" t="s">
        <v>75</v>
      </c>
      <c r="B17" s="7" t="s">
        <v>76</v>
      </c>
      <c r="C17" s="7" t="s">
        <v>74</v>
      </c>
      <c r="D17" s="11">
        <v>12000</v>
      </c>
      <c r="E17" s="11">
        <v>7200</v>
      </c>
    </row>
    <row r="18" spans="1:5" ht="16" customHeight="1" x14ac:dyDescent="0.2">
      <c r="A18" s="8" t="s">
        <v>77</v>
      </c>
      <c r="B18" s="9" t="s">
        <v>78</v>
      </c>
      <c r="C18" s="9" t="s">
        <v>74</v>
      </c>
      <c r="D18" s="10">
        <v>45000</v>
      </c>
      <c r="E18" s="10">
        <v>27000</v>
      </c>
    </row>
    <row r="19" spans="1:5" ht="16" customHeight="1" x14ac:dyDescent="0.2">
      <c r="A19" s="3" t="s">
        <v>79</v>
      </c>
      <c r="B19" s="7" t="s">
        <v>80</v>
      </c>
      <c r="C19" s="7" t="s">
        <v>74</v>
      </c>
      <c r="D19" s="11">
        <v>3500</v>
      </c>
      <c r="E19" s="11">
        <v>2100</v>
      </c>
    </row>
    <row r="20" spans="1:5" ht="16" customHeight="1" x14ac:dyDescent="0.2">
      <c r="A20" s="8" t="s">
        <v>81</v>
      </c>
      <c r="B20" s="9" t="s">
        <v>82</v>
      </c>
      <c r="C20" s="9" t="s">
        <v>74</v>
      </c>
      <c r="D20" s="10">
        <v>65000</v>
      </c>
      <c r="E20" s="10">
        <v>39000</v>
      </c>
    </row>
    <row r="21" spans="1:5" ht="16" customHeight="1" x14ac:dyDescent="0.2">
      <c r="A21" s="3" t="s">
        <v>83</v>
      </c>
      <c r="B21" s="7" t="s">
        <v>84</v>
      </c>
      <c r="C21" s="7" t="s">
        <v>74</v>
      </c>
      <c r="D21" s="11">
        <v>7800</v>
      </c>
      <c r="E21" s="11">
        <v>4680</v>
      </c>
    </row>
    <row r="22" spans="1:5" ht="16" customHeight="1" x14ac:dyDescent="0.2">
      <c r="A22" s="8" t="s">
        <v>85</v>
      </c>
      <c r="B22" s="9" t="s">
        <v>86</v>
      </c>
      <c r="C22" s="9" t="s">
        <v>87</v>
      </c>
      <c r="D22" s="10">
        <v>850</v>
      </c>
      <c r="E22" s="10">
        <v>510</v>
      </c>
    </row>
    <row r="23" spans="1:5" ht="16" customHeight="1" x14ac:dyDescent="0.2">
      <c r="A23" s="3" t="s">
        <v>88</v>
      </c>
      <c r="B23" s="7" t="s">
        <v>89</v>
      </c>
      <c r="C23" s="7" t="s">
        <v>87</v>
      </c>
      <c r="D23" s="11">
        <v>4200</v>
      </c>
      <c r="E23" s="11">
        <v>2520</v>
      </c>
    </row>
    <row r="24" spans="1:5" ht="16" customHeight="1" x14ac:dyDescent="0.2">
      <c r="A24" s="8" t="s">
        <v>90</v>
      </c>
      <c r="B24" s="9" t="s">
        <v>91</v>
      </c>
      <c r="C24" s="9" t="s">
        <v>87</v>
      </c>
      <c r="D24" s="10">
        <v>7800</v>
      </c>
      <c r="E24" s="10">
        <v>4680</v>
      </c>
    </row>
    <row r="25" spans="1:5" ht="16" customHeight="1" x14ac:dyDescent="0.2">
      <c r="A25" s="3" t="s">
        <v>92</v>
      </c>
      <c r="B25" s="7" t="s">
        <v>93</v>
      </c>
      <c r="C25" s="7" t="s">
        <v>87</v>
      </c>
      <c r="D25" s="11">
        <v>38000</v>
      </c>
      <c r="E25" s="11">
        <v>22800</v>
      </c>
    </row>
    <row r="26" spans="1:5" ht="16" customHeight="1" x14ac:dyDescent="0.2">
      <c r="A26" s="8" t="s">
        <v>94</v>
      </c>
      <c r="B26" s="9" t="s">
        <v>95</v>
      </c>
      <c r="C26" s="9" t="s">
        <v>87</v>
      </c>
      <c r="D26" s="10">
        <v>950</v>
      </c>
      <c r="E26" s="10">
        <v>570</v>
      </c>
    </row>
    <row r="27" spans="1:5" ht="16" customHeight="1" x14ac:dyDescent="0.2">
      <c r="A27" s="3" t="s">
        <v>96</v>
      </c>
      <c r="B27" s="7" t="s">
        <v>97</v>
      </c>
      <c r="C27" s="7" t="s">
        <v>87</v>
      </c>
      <c r="D27" s="11">
        <v>2800</v>
      </c>
      <c r="E27" s="11">
        <v>1680</v>
      </c>
    </row>
    <row r="28" spans="1:5" ht="16" customHeight="1" x14ac:dyDescent="0.2">
      <c r="A28" s="8" t="s">
        <v>98</v>
      </c>
      <c r="B28" s="9" t="s">
        <v>99</v>
      </c>
      <c r="C28" s="9" t="s">
        <v>100</v>
      </c>
      <c r="D28" s="10">
        <v>3600</v>
      </c>
      <c r="E28" s="10">
        <v>2160</v>
      </c>
    </row>
    <row r="29" spans="1:5" ht="16" customHeight="1" x14ac:dyDescent="0.2">
      <c r="A29" s="3" t="s">
        <v>101</v>
      </c>
      <c r="B29" s="7" t="s">
        <v>102</v>
      </c>
      <c r="C29" s="7" t="s">
        <v>100</v>
      </c>
      <c r="D29" s="11">
        <v>5500</v>
      </c>
      <c r="E29" s="11">
        <v>3300</v>
      </c>
    </row>
    <row r="30" spans="1:5" ht="16" customHeight="1" x14ac:dyDescent="0.2">
      <c r="A30" s="8" t="s">
        <v>103</v>
      </c>
      <c r="B30" s="9" t="s">
        <v>104</v>
      </c>
      <c r="C30" s="9" t="s">
        <v>100</v>
      </c>
      <c r="D30" s="10">
        <v>450</v>
      </c>
      <c r="E30" s="10">
        <v>270</v>
      </c>
    </row>
    <row r="31" spans="1:5" ht="16" customHeight="1" x14ac:dyDescent="0.2">
      <c r="A31" s="3" t="s">
        <v>105</v>
      </c>
      <c r="B31" s="7" t="s">
        <v>106</v>
      </c>
      <c r="C31" s="7" t="s">
        <v>100</v>
      </c>
      <c r="D31" s="11">
        <v>3200</v>
      </c>
      <c r="E31" s="11">
        <v>1920</v>
      </c>
    </row>
    <row r="32" spans="1:5" ht="16" customHeight="1" x14ac:dyDescent="0.2">
      <c r="A32" s="8" t="s">
        <v>107</v>
      </c>
      <c r="B32" s="9" t="s">
        <v>108</v>
      </c>
      <c r="C32" s="9" t="s">
        <v>100</v>
      </c>
      <c r="D32" s="10">
        <v>8500</v>
      </c>
      <c r="E32" s="10">
        <v>5100</v>
      </c>
    </row>
    <row r="33" spans="1:5" ht="16" customHeight="1" x14ac:dyDescent="0.2">
      <c r="A33" s="3" t="s">
        <v>109</v>
      </c>
      <c r="B33" s="7" t="s">
        <v>110</v>
      </c>
      <c r="C33" s="7" t="s">
        <v>100</v>
      </c>
      <c r="D33" s="11">
        <v>380</v>
      </c>
      <c r="E33" s="11">
        <v>228</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M107"/>
  <sheetViews>
    <sheetView topLeftCell="A93" workbookViewId="0">
      <selection activeCell="P17" sqref="P17"/>
    </sheetView>
  </sheetViews>
  <sheetFormatPr baseColWidth="10" defaultColWidth="8.83203125" defaultRowHeight="15" x14ac:dyDescent="0.2"/>
  <cols>
    <col min="1" max="1" width="5" customWidth="1"/>
    <col min="2" max="2" width="11" customWidth="1"/>
    <col min="3" max="3" width="5" customWidth="1"/>
    <col min="4" max="4" width="15" customWidth="1"/>
    <col min="5" max="5" width="20" customWidth="1"/>
    <col min="6" max="6" width="12" customWidth="1"/>
    <col min="7" max="7" width="10" customWidth="1"/>
    <col min="8" max="8" width="28" customWidth="1"/>
    <col min="9" max="9" width="7" customWidth="1"/>
    <col min="10" max="11" width="11" customWidth="1"/>
    <col min="12" max="13" width="13" customWidth="1"/>
  </cols>
  <sheetData>
    <row r="1" spans="1:13" ht="32" customHeight="1" x14ac:dyDescent="0.2">
      <c r="A1" s="54" t="s">
        <v>111</v>
      </c>
      <c r="B1" s="30"/>
      <c r="C1" s="30"/>
      <c r="D1" s="30"/>
      <c r="E1" s="30"/>
      <c r="F1" s="30"/>
      <c r="G1" s="30"/>
      <c r="H1" s="30"/>
      <c r="I1" s="30"/>
      <c r="J1" s="30"/>
      <c r="K1" s="30"/>
      <c r="L1" s="30"/>
      <c r="M1" s="31"/>
    </row>
    <row r="2" spans="1:13" ht="64" customHeight="1" x14ac:dyDescent="0.2">
      <c r="A2" s="42" t="s">
        <v>112</v>
      </c>
      <c r="B2" s="30"/>
      <c r="C2" s="30"/>
      <c r="D2" s="30"/>
      <c r="E2" s="30"/>
      <c r="F2" s="30"/>
      <c r="G2" s="30"/>
      <c r="H2" s="30"/>
      <c r="I2" s="30"/>
      <c r="J2" s="30"/>
      <c r="K2" s="30"/>
      <c r="L2" s="30"/>
      <c r="M2" s="31"/>
    </row>
    <row r="3" spans="1:13" ht="6" customHeight="1" x14ac:dyDescent="0.2"/>
    <row r="4" spans="1:13" ht="22" customHeight="1" x14ac:dyDescent="0.2">
      <c r="A4" s="45" t="s">
        <v>113</v>
      </c>
      <c r="B4" s="30"/>
      <c r="C4" s="30"/>
      <c r="D4" s="30"/>
      <c r="E4" s="30"/>
      <c r="F4" s="30"/>
      <c r="G4" s="30"/>
      <c r="H4" s="30"/>
      <c r="I4" s="30"/>
      <c r="J4" s="30"/>
      <c r="K4" s="30"/>
      <c r="L4" s="30"/>
      <c r="M4" s="31"/>
    </row>
    <row r="5" spans="1:13" ht="28" customHeight="1" x14ac:dyDescent="0.2">
      <c r="A5" s="60" t="s">
        <v>114</v>
      </c>
      <c r="B5" s="39"/>
      <c r="C5" s="39"/>
      <c r="D5" s="39"/>
      <c r="E5" s="39"/>
      <c r="F5" s="39"/>
      <c r="G5" s="39"/>
      <c r="H5" s="39"/>
      <c r="I5" s="39"/>
      <c r="J5" s="39"/>
      <c r="K5" s="39"/>
      <c r="L5" s="39"/>
      <c r="M5" s="40"/>
    </row>
    <row r="6" spans="1:13" ht="44" customHeight="1" x14ac:dyDescent="0.2">
      <c r="A6" s="38">
        <f>COUNTIF(D18:D107,"Central")</f>
        <v>18</v>
      </c>
      <c r="B6" s="39"/>
      <c r="C6" s="39"/>
      <c r="D6" s="39"/>
      <c r="E6" s="39"/>
      <c r="F6" s="39"/>
      <c r="G6" s="39"/>
      <c r="H6" s="39"/>
      <c r="I6" s="39"/>
      <c r="J6" s="39"/>
      <c r="K6" s="39"/>
      <c r="L6" s="39"/>
      <c r="M6" s="40"/>
    </row>
    <row r="7" spans="1:13" ht="6" customHeight="1" x14ac:dyDescent="0.2"/>
    <row r="8" spans="1:13" ht="28" customHeight="1" x14ac:dyDescent="0.2">
      <c r="A8" s="60" t="s">
        <v>115</v>
      </c>
      <c r="B8" s="39"/>
      <c r="C8" s="39"/>
      <c r="D8" s="39"/>
      <c r="E8" s="39"/>
      <c r="F8" s="39"/>
      <c r="G8" s="39"/>
      <c r="H8" s="39"/>
      <c r="I8" s="39"/>
      <c r="J8" s="39"/>
      <c r="K8" s="39"/>
      <c r="L8" s="39"/>
      <c r="M8" s="40"/>
    </row>
    <row r="9" spans="1:13" ht="44" customHeight="1" x14ac:dyDescent="0.2">
      <c r="A9" s="38">
        <f>SUM(L18:L107)</f>
        <v>23139300</v>
      </c>
      <c r="B9" s="39"/>
      <c r="C9" s="39"/>
      <c r="D9" s="39"/>
      <c r="E9" s="39"/>
      <c r="F9" s="39"/>
      <c r="G9" s="39"/>
      <c r="H9" s="39"/>
      <c r="I9" s="39"/>
      <c r="J9" s="39"/>
      <c r="K9" s="39"/>
      <c r="L9" s="39"/>
      <c r="M9" s="40"/>
    </row>
    <row r="10" spans="1:13" ht="6" customHeight="1" x14ac:dyDescent="0.2"/>
    <row r="11" spans="1:13" ht="28" customHeight="1" x14ac:dyDescent="0.2">
      <c r="A11" s="60" t="s">
        <v>116</v>
      </c>
      <c r="B11" s="39"/>
      <c r="C11" s="39"/>
      <c r="D11" s="39"/>
      <c r="E11" s="39"/>
      <c r="F11" s="39"/>
      <c r="G11" s="39"/>
      <c r="H11" s="39"/>
      <c r="I11" s="39"/>
      <c r="J11" s="39"/>
      <c r="K11" s="39"/>
      <c r="L11" s="39"/>
      <c r="M11" s="40"/>
    </row>
    <row r="12" spans="1:13" ht="129" customHeight="1" x14ac:dyDescent="0.2">
      <c r="A12" s="38" t="s">
        <v>117</v>
      </c>
      <c r="B12" s="39"/>
      <c r="C12" s="39"/>
      <c r="D12" s="39"/>
      <c r="E12" s="39"/>
      <c r="F12" s="39"/>
      <c r="G12" s="39"/>
      <c r="H12" s="39"/>
      <c r="I12" s="39"/>
      <c r="J12" s="39"/>
      <c r="K12" s="39"/>
      <c r="L12" s="39"/>
      <c r="M12" s="40"/>
    </row>
    <row r="13" spans="1:13" ht="6" customHeight="1" x14ac:dyDescent="0.2"/>
    <row r="14" spans="1:13" ht="6" customHeight="1" x14ac:dyDescent="0.2"/>
    <row r="15" spans="1:13" ht="120" customHeight="1" x14ac:dyDescent="0.2">
      <c r="A15" s="57" t="s">
        <v>118</v>
      </c>
      <c r="B15" s="58"/>
      <c r="C15" s="58"/>
      <c r="D15" s="58"/>
      <c r="E15" s="58"/>
      <c r="F15" s="58"/>
      <c r="G15" s="58"/>
      <c r="H15" s="58"/>
      <c r="I15" s="58"/>
      <c r="J15" s="58"/>
      <c r="K15" s="58"/>
      <c r="L15" s="58"/>
      <c r="M15" s="59"/>
    </row>
    <row r="16" spans="1:13" ht="6" customHeight="1" x14ac:dyDescent="0.2"/>
    <row r="17" spans="1:13" ht="22" customHeight="1" x14ac:dyDescent="0.2">
      <c r="A17" s="6" t="s">
        <v>119</v>
      </c>
      <c r="B17" s="6" t="s">
        <v>120</v>
      </c>
      <c r="C17" s="6" t="s">
        <v>121</v>
      </c>
      <c r="D17" s="6" t="s">
        <v>122</v>
      </c>
      <c r="E17" s="6" t="s">
        <v>123</v>
      </c>
      <c r="F17" s="6" t="s">
        <v>124</v>
      </c>
      <c r="G17" s="5" t="s">
        <v>125</v>
      </c>
      <c r="H17" s="5" t="s">
        <v>126</v>
      </c>
      <c r="I17" s="5" t="s">
        <v>127</v>
      </c>
      <c r="J17" s="5" t="s">
        <v>44</v>
      </c>
      <c r="K17" s="5" t="s">
        <v>45</v>
      </c>
      <c r="L17" s="5" t="s">
        <v>128</v>
      </c>
      <c r="M17" s="5" t="s">
        <v>129</v>
      </c>
    </row>
    <row r="18" spans="1:13" ht="15" customHeight="1" x14ac:dyDescent="0.2">
      <c r="A18" s="12">
        <v>1</v>
      </c>
      <c r="B18" s="7" t="s">
        <v>130</v>
      </c>
      <c r="C18" s="7" t="s">
        <v>131</v>
      </c>
      <c r="D18" s="7" t="s">
        <v>132</v>
      </c>
      <c r="E18" s="7" t="s">
        <v>133</v>
      </c>
      <c r="F18" s="7" t="s">
        <v>134</v>
      </c>
      <c r="G18" s="4" t="str">
        <f t="shared" ref="G18:G49" si="0">TRIM(F18)</f>
        <v>CON-001</v>
      </c>
      <c r="H18" s="4" t="str">
        <f>VLOOKUP($G18,Catalogo_Productos!$A$4:$E$33,2,0)</f>
        <v>Bloque 15x20x40</v>
      </c>
      <c r="I18" s="13">
        <v>45</v>
      </c>
      <c r="J18" s="14">
        <f>VLOOKUP($G18,Catalogo_Productos!$A$4:$E$33,4,0)</f>
        <v>850</v>
      </c>
      <c r="K18" s="14">
        <f>VLOOKUP($G18,Catalogo_Productos!$A$4:$E$33,5,0)</f>
        <v>510</v>
      </c>
      <c r="L18" s="14">
        <f t="shared" ref="L18:L49" si="1">I18*J18</f>
        <v>38250</v>
      </c>
      <c r="M18" s="14">
        <f t="shared" ref="M18:M49" si="2">I18*K18</f>
        <v>22950</v>
      </c>
    </row>
    <row r="19" spans="1:13" ht="15" customHeight="1" x14ac:dyDescent="0.2">
      <c r="A19" s="12">
        <v>2</v>
      </c>
      <c r="B19" s="7" t="s">
        <v>135</v>
      </c>
      <c r="C19" s="7" t="s">
        <v>131</v>
      </c>
      <c r="D19" s="7" t="s">
        <v>136</v>
      </c>
      <c r="E19" s="7" t="s">
        <v>137</v>
      </c>
      <c r="F19" s="7" t="s">
        <v>62</v>
      </c>
      <c r="G19" s="4" t="str">
        <f t="shared" si="0"/>
        <v>PIN-002</v>
      </c>
      <c r="H19" s="4" t="str">
        <f>VLOOKUP($G19,Catalogo_Productos!$A$4:$E$33,2,0)</f>
        <v>Sellador acrilico</v>
      </c>
      <c r="I19" s="13">
        <v>11</v>
      </c>
      <c r="J19" s="14">
        <f>VLOOKUP($G19,Catalogo_Productos!$A$4:$E$33,4,0)</f>
        <v>12000</v>
      </c>
      <c r="K19" s="14">
        <f>VLOOKUP($G19,Catalogo_Productos!$A$4:$E$33,5,0)</f>
        <v>7200</v>
      </c>
      <c r="L19" s="14">
        <f t="shared" si="1"/>
        <v>132000</v>
      </c>
      <c r="M19" s="14">
        <f t="shared" si="2"/>
        <v>79200</v>
      </c>
    </row>
    <row r="20" spans="1:13" ht="15" customHeight="1" x14ac:dyDescent="0.2">
      <c r="A20" s="12">
        <v>3</v>
      </c>
      <c r="B20" s="7" t="s">
        <v>138</v>
      </c>
      <c r="C20" s="7" t="s">
        <v>131</v>
      </c>
      <c r="D20" s="7" t="s">
        <v>139</v>
      </c>
      <c r="E20" s="7" t="s">
        <v>140</v>
      </c>
      <c r="F20" s="7" t="s">
        <v>77</v>
      </c>
      <c r="G20" s="4" t="str">
        <f t="shared" si="0"/>
        <v>HER-003</v>
      </c>
      <c r="H20" s="4" t="str">
        <f>VLOOKUP($G20,Catalogo_Productos!$A$4:$E$33,2,0)</f>
        <v>Sierra circular 7in</v>
      </c>
      <c r="I20" s="13">
        <v>42</v>
      </c>
      <c r="J20" s="14">
        <f>VLOOKUP($G20,Catalogo_Productos!$A$4:$E$33,4,0)</f>
        <v>45000</v>
      </c>
      <c r="K20" s="14">
        <f>VLOOKUP($G20,Catalogo_Productos!$A$4:$E$33,5,0)</f>
        <v>27000</v>
      </c>
      <c r="L20" s="14">
        <f t="shared" si="1"/>
        <v>1890000</v>
      </c>
      <c r="M20" s="14">
        <f t="shared" si="2"/>
        <v>1134000</v>
      </c>
    </row>
    <row r="21" spans="1:13" ht="15" customHeight="1" x14ac:dyDescent="0.2">
      <c r="A21" s="12">
        <v>4</v>
      </c>
      <c r="B21" s="7" t="s">
        <v>141</v>
      </c>
      <c r="C21" s="7" t="s">
        <v>142</v>
      </c>
      <c r="D21" s="7" t="s">
        <v>143</v>
      </c>
      <c r="E21" s="7" t="s">
        <v>144</v>
      </c>
      <c r="F21" s="7" t="s">
        <v>145</v>
      </c>
      <c r="G21" s="4" t="str">
        <f t="shared" si="0"/>
        <v>ELE-004</v>
      </c>
      <c r="H21" s="4" t="str">
        <f>VLOOKUP($G21,Catalogo_Productos!$A$4:$E$33,2,0)</f>
        <v>Panel 12 circuitos</v>
      </c>
      <c r="I21" s="13">
        <v>8</v>
      </c>
      <c r="J21" s="14">
        <f>VLOOKUP($G21,Catalogo_Productos!$A$4:$E$33,4,0)</f>
        <v>38000</v>
      </c>
      <c r="K21" s="14">
        <f>VLOOKUP($G21,Catalogo_Productos!$A$4:$E$33,5,0)</f>
        <v>22800</v>
      </c>
      <c r="L21" s="14">
        <f t="shared" si="1"/>
        <v>304000</v>
      </c>
      <c r="M21" s="14">
        <f t="shared" si="2"/>
        <v>182400</v>
      </c>
    </row>
    <row r="22" spans="1:13" ht="15" customHeight="1" x14ac:dyDescent="0.2">
      <c r="A22" s="12">
        <v>5</v>
      </c>
      <c r="B22" s="7" t="s">
        <v>146</v>
      </c>
      <c r="C22" s="7" t="s">
        <v>142</v>
      </c>
      <c r="D22" s="7" t="s">
        <v>147</v>
      </c>
      <c r="E22" s="7" t="s">
        <v>148</v>
      </c>
      <c r="F22" s="7" t="s">
        <v>107</v>
      </c>
      <c r="G22" s="4" t="str">
        <f t="shared" si="0"/>
        <v>PLO-005</v>
      </c>
      <c r="H22" s="4" t="str">
        <f>VLOOKUP($G22,Catalogo_Productos!$A$4:$E$33,2,0)</f>
        <v>Llave de chorro</v>
      </c>
      <c r="I22" s="13">
        <v>38</v>
      </c>
      <c r="J22" s="14">
        <f>VLOOKUP($G22,Catalogo_Productos!$A$4:$E$33,4,0)</f>
        <v>8500</v>
      </c>
      <c r="K22" s="14">
        <f>VLOOKUP($G22,Catalogo_Productos!$A$4:$E$33,5,0)</f>
        <v>5100</v>
      </c>
      <c r="L22" s="14">
        <f t="shared" si="1"/>
        <v>323000</v>
      </c>
      <c r="M22" s="14">
        <f t="shared" si="2"/>
        <v>193800</v>
      </c>
    </row>
    <row r="23" spans="1:13" ht="15" customHeight="1" x14ac:dyDescent="0.2">
      <c r="A23" s="12">
        <v>6</v>
      </c>
      <c r="B23" s="7" t="s">
        <v>149</v>
      </c>
      <c r="C23" s="7" t="s">
        <v>142</v>
      </c>
      <c r="D23" s="7" t="s">
        <v>132</v>
      </c>
      <c r="E23" s="7" t="s">
        <v>150</v>
      </c>
      <c r="F23" s="7" t="s">
        <v>57</v>
      </c>
      <c r="G23" s="4" t="str">
        <f t="shared" si="0"/>
        <v>CON-006</v>
      </c>
      <c r="H23" s="4" t="str">
        <f>VLOOKUP($G23,Catalogo_Productos!$A$4:$E$33,2,0)</f>
        <v>Regla aluminio 2m</v>
      </c>
      <c r="I23" s="13">
        <v>3</v>
      </c>
      <c r="J23" s="14">
        <f>VLOOKUP($G23,Catalogo_Productos!$A$4:$E$33,4,0)</f>
        <v>4500</v>
      </c>
      <c r="K23" s="14">
        <f>VLOOKUP($G23,Catalogo_Productos!$A$4:$E$33,5,0)</f>
        <v>2700</v>
      </c>
      <c r="L23" s="14">
        <f t="shared" si="1"/>
        <v>13500</v>
      </c>
      <c r="M23" s="14">
        <f t="shared" si="2"/>
        <v>8100</v>
      </c>
    </row>
    <row r="24" spans="1:13" ht="15" customHeight="1" x14ac:dyDescent="0.2">
      <c r="A24" s="12">
        <v>7</v>
      </c>
      <c r="B24" s="7" t="s">
        <v>151</v>
      </c>
      <c r="C24" s="7" t="s">
        <v>152</v>
      </c>
      <c r="D24" s="7" t="s">
        <v>136</v>
      </c>
      <c r="E24" s="7" t="s">
        <v>153</v>
      </c>
      <c r="F24" s="7" t="s">
        <v>154</v>
      </c>
      <c r="G24" s="4" t="str">
        <f t="shared" si="0"/>
        <v>PIN-001</v>
      </c>
      <c r="H24" s="4" t="str">
        <f>VLOOKUP($G24,Catalogo_Productos!$A$4:$E$33,2,0)</f>
        <v>Pintura blanca 4L</v>
      </c>
      <c r="I24" s="13">
        <v>6</v>
      </c>
      <c r="J24" s="14">
        <f>VLOOKUP($G24,Catalogo_Productos!$A$4:$E$33,4,0)</f>
        <v>15500</v>
      </c>
      <c r="K24" s="14">
        <f>VLOOKUP($G24,Catalogo_Productos!$A$4:$E$33,5,0)</f>
        <v>9300</v>
      </c>
      <c r="L24" s="14">
        <f t="shared" si="1"/>
        <v>93000</v>
      </c>
      <c r="M24" s="14">
        <f t="shared" si="2"/>
        <v>55800</v>
      </c>
    </row>
    <row r="25" spans="1:13" ht="15" customHeight="1" x14ac:dyDescent="0.2">
      <c r="A25" s="12">
        <v>8</v>
      </c>
      <c r="B25" s="7" t="s">
        <v>155</v>
      </c>
      <c r="C25" s="7" t="s">
        <v>152</v>
      </c>
      <c r="D25" s="7" t="s">
        <v>139</v>
      </c>
      <c r="E25" s="7" t="s">
        <v>156</v>
      </c>
      <c r="F25" s="7" t="s">
        <v>157</v>
      </c>
      <c r="G25" s="4" t="str">
        <f t="shared" si="0"/>
        <v>HER-002</v>
      </c>
      <c r="H25" s="4" t="str">
        <f>VLOOKUP($G25,Catalogo_Productos!$A$4:$E$33,2,0)</f>
        <v>Destornillador set x6</v>
      </c>
      <c r="I25" s="13">
        <v>22</v>
      </c>
      <c r="J25" s="14">
        <f>VLOOKUP($G25,Catalogo_Productos!$A$4:$E$33,4,0)</f>
        <v>12000</v>
      </c>
      <c r="K25" s="14">
        <f>VLOOKUP($G25,Catalogo_Productos!$A$4:$E$33,5,0)</f>
        <v>7200</v>
      </c>
      <c r="L25" s="14">
        <f t="shared" si="1"/>
        <v>264000</v>
      </c>
      <c r="M25" s="14">
        <f t="shared" si="2"/>
        <v>158400</v>
      </c>
    </row>
    <row r="26" spans="1:13" ht="15" customHeight="1" x14ac:dyDescent="0.2">
      <c r="A26" s="12">
        <v>9</v>
      </c>
      <c r="B26" s="7" t="s">
        <v>158</v>
      </c>
      <c r="C26" s="7" t="s">
        <v>152</v>
      </c>
      <c r="D26" s="7" t="s">
        <v>143</v>
      </c>
      <c r="E26" s="7" t="s">
        <v>159</v>
      </c>
      <c r="F26" s="7" t="s">
        <v>90</v>
      </c>
      <c r="G26" s="4" t="str">
        <f t="shared" si="0"/>
        <v>ELE-003</v>
      </c>
      <c r="H26" s="4" t="str">
        <f>VLOOKUP($G26,Catalogo_Productos!$A$4:$E$33,2,0)</f>
        <v>Breaker 20A</v>
      </c>
      <c r="I26" s="13">
        <v>39</v>
      </c>
      <c r="J26" s="14">
        <f>VLOOKUP($G26,Catalogo_Productos!$A$4:$E$33,4,0)</f>
        <v>7800</v>
      </c>
      <c r="K26" s="14">
        <f>VLOOKUP($G26,Catalogo_Productos!$A$4:$E$33,5,0)</f>
        <v>4680</v>
      </c>
      <c r="L26" s="14">
        <f t="shared" si="1"/>
        <v>304200</v>
      </c>
      <c r="M26" s="14">
        <f t="shared" si="2"/>
        <v>182520</v>
      </c>
    </row>
    <row r="27" spans="1:13" ht="15" customHeight="1" x14ac:dyDescent="0.2">
      <c r="A27" s="12">
        <v>10</v>
      </c>
      <c r="B27" s="7" t="s">
        <v>160</v>
      </c>
      <c r="C27" s="7" t="s">
        <v>161</v>
      </c>
      <c r="D27" s="7" t="s">
        <v>147</v>
      </c>
      <c r="E27" s="7" t="s">
        <v>162</v>
      </c>
      <c r="F27" s="7" t="s">
        <v>163</v>
      </c>
      <c r="G27" s="4" t="str">
        <f t="shared" si="0"/>
        <v>PLO-004</v>
      </c>
      <c r="H27" s="4" t="str">
        <f>VLOOKUP($G27,Catalogo_Productos!$A$4:$E$33,2,0)</f>
        <v>Sellador silicona</v>
      </c>
      <c r="I27" s="13">
        <v>15</v>
      </c>
      <c r="J27" s="14">
        <f>VLOOKUP($G27,Catalogo_Productos!$A$4:$E$33,4,0)</f>
        <v>3200</v>
      </c>
      <c r="K27" s="14">
        <f>VLOOKUP($G27,Catalogo_Productos!$A$4:$E$33,5,0)</f>
        <v>1920</v>
      </c>
      <c r="L27" s="14">
        <f t="shared" si="1"/>
        <v>48000</v>
      </c>
      <c r="M27" s="14">
        <f t="shared" si="2"/>
        <v>28800</v>
      </c>
    </row>
    <row r="28" spans="1:13" ht="15" customHeight="1" x14ac:dyDescent="0.2">
      <c r="A28" s="12">
        <v>11</v>
      </c>
      <c r="B28" s="7" t="s">
        <v>164</v>
      </c>
      <c r="C28" s="7" t="s">
        <v>161</v>
      </c>
      <c r="D28" s="7" t="s">
        <v>132</v>
      </c>
      <c r="E28" s="7" t="s">
        <v>165</v>
      </c>
      <c r="F28" s="7" t="s">
        <v>55</v>
      </c>
      <c r="G28" s="4" t="str">
        <f t="shared" si="0"/>
        <v>CON-005</v>
      </c>
      <c r="H28" s="4" t="str">
        <f>VLOOKUP($G28,Catalogo_Productos!$A$4:$E$33,2,0)</f>
        <v>Malla electrosoldada</v>
      </c>
      <c r="I28" s="13">
        <v>42</v>
      </c>
      <c r="J28" s="14">
        <f>VLOOKUP($G28,Catalogo_Productos!$A$4:$E$33,4,0)</f>
        <v>15000</v>
      </c>
      <c r="K28" s="14">
        <f>VLOOKUP($G28,Catalogo_Productos!$A$4:$E$33,5,0)</f>
        <v>9000</v>
      </c>
      <c r="L28" s="14">
        <f t="shared" si="1"/>
        <v>630000</v>
      </c>
      <c r="M28" s="14">
        <f t="shared" si="2"/>
        <v>378000</v>
      </c>
    </row>
    <row r="29" spans="1:13" ht="15" customHeight="1" x14ac:dyDescent="0.2">
      <c r="A29" s="12">
        <v>12</v>
      </c>
      <c r="B29" s="7" t="s">
        <v>166</v>
      </c>
      <c r="C29" s="7" t="s">
        <v>161</v>
      </c>
      <c r="D29" s="7" t="s">
        <v>136</v>
      </c>
      <c r="E29" s="7" t="s">
        <v>167</v>
      </c>
      <c r="F29" s="7" t="s">
        <v>70</v>
      </c>
      <c r="G29" s="4" t="str">
        <f t="shared" si="0"/>
        <v>PIN-006</v>
      </c>
      <c r="H29" s="4" t="str">
        <f>VLOOKUP($G29,Catalogo_Productos!$A$4:$E$33,2,0)</f>
        <v>Brocha 4 pulgadas</v>
      </c>
      <c r="I29" s="13">
        <v>23</v>
      </c>
      <c r="J29" s="14">
        <f>VLOOKUP($G29,Catalogo_Productos!$A$4:$E$33,4,0)</f>
        <v>3200</v>
      </c>
      <c r="K29" s="14">
        <f>VLOOKUP($G29,Catalogo_Productos!$A$4:$E$33,5,0)</f>
        <v>1920</v>
      </c>
      <c r="L29" s="14">
        <f t="shared" si="1"/>
        <v>73600</v>
      </c>
      <c r="M29" s="14">
        <f t="shared" si="2"/>
        <v>44160</v>
      </c>
    </row>
    <row r="30" spans="1:13" ht="15" customHeight="1" x14ac:dyDescent="0.2">
      <c r="A30" s="12">
        <v>13</v>
      </c>
      <c r="B30" s="7" t="s">
        <v>130</v>
      </c>
      <c r="C30" s="7" t="s">
        <v>131</v>
      </c>
      <c r="D30" s="7" t="s">
        <v>139</v>
      </c>
      <c r="E30" s="7" t="s">
        <v>168</v>
      </c>
      <c r="F30" s="7" t="s">
        <v>169</v>
      </c>
      <c r="G30" s="4" t="str">
        <f t="shared" si="0"/>
        <v>HER-001</v>
      </c>
      <c r="H30" s="4" t="str">
        <f>VLOOKUP($G30,Catalogo_Productos!$A$4:$E$33,2,0)</f>
        <v>Martillo 500g</v>
      </c>
      <c r="I30" s="13">
        <v>7</v>
      </c>
      <c r="J30" s="14">
        <f>VLOOKUP($G30,Catalogo_Productos!$A$4:$E$33,4,0)</f>
        <v>8500</v>
      </c>
      <c r="K30" s="14">
        <f>VLOOKUP($G30,Catalogo_Productos!$A$4:$E$33,5,0)</f>
        <v>5100</v>
      </c>
      <c r="L30" s="14">
        <f t="shared" si="1"/>
        <v>59500</v>
      </c>
      <c r="M30" s="14">
        <f t="shared" si="2"/>
        <v>35700</v>
      </c>
    </row>
    <row r="31" spans="1:13" ht="15" customHeight="1" x14ac:dyDescent="0.2">
      <c r="A31" s="12">
        <v>14</v>
      </c>
      <c r="B31" s="7" t="s">
        <v>135</v>
      </c>
      <c r="C31" s="7" t="s">
        <v>131</v>
      </c>
      <c r="D31" s="7" t="s">
        <v>143</v>
      </c>
      <c r="E31" s="7" t="s">
        <v>170</v>
      </c>
      <c r="F31" s="7" t="s">
        <v>88</v>
      </c>
      <c r="G31" s="4" t="str">
        <f t="shared" si="0"/>
        <v>ELE-002</v>
      </c>
      <c r="H31" s="4" t="str">
        <f>VLOOKUP($G31,Catalogo_Productos!$A$4:$E$33,2,0)</f>
        <v>Tomacorriente doble</v>
      </c>
      <c r="I31" s="13">
        <v>33</v>
      </c>
      <c r="J31" s="14">
        <f>VLOOKUP($G31,Catalogo_Productos!$A$4:$E$33,4,0)</f>
        <v>4200</v>
      </c>
      <c r="K31" s="14">
        <f>VLOOKUP($G31,Catalogo_Productos!$A$4:$E$33,5,0)</f>
        <v>2520</v>
      </c>
      <c r="L31" s="14">
        <f t="shared" si="1"/>
        <v>138600</v>
      </c>
      <c r="M31" s="14">
        <f t="shared" si="2"/>
        <v>83160</v>
      </c>
    </row>
    <row r="32" spans="1:13" ht="15" customHeight="1" x14ac:dyDescent="0.2">
      <c r="A32" s="12">
        <v>15</v>
      </c>
      <c r="B32" s="7" t="s">
        <v>138</v>
      </c>
      <c r="C32" s="7" t="s">
        <v>131</v>
      </c>
      <c r="D32" s="7" t="s">
        <v>147</v>
      </c>
      <c r="E32" s="7" t="s">
        <v>148</v>
      </c>
      <c r="F32" s="7" t="s">
        <v>171</v>
      </c>
      <c r="G32" s="4" t="str">
        <f t="shared" si="0"/>
        <v>PLO-003</v>
      </c>
      <c r="H32" s="4" t="str">
        <f>VLOOKUP($G32,Catalogo_Productos!$A$4:$E$33,2,0)</f>
        <v>Codo 90 PVC 1/2</v>
      </c>
      <c r="I32" s="13">
        <v>15</v>
      </c>
      <c r="J32" s="14">
        <f>VLOOKUP($G32,Catalogo_Productos!$A$4:$E$33,4,0)</f>
        <v>450</v>
      </c>
      <c r="K32" s="14">
        <f>VLOOKUP($G32,Catalogo_Productos!$A$4:$E$33,5,0)</f>
        <v>270</v>
      </c>
      <c r="L32" s="14">
        <f t="shared" si="1"/>
        <v>6750</v>
      </c>
      <c r="M32" s="14">
        <f t="shared" si="2"/>
        <v>4050</v>
      </c>
    </row>
    <row r="33" spans="1:13" ht="15" customHeight="1" x14ac:dyDescent="0.2">
      <c r="A33" s="12">
        <v>16</v>
      </c>
      <c r="B33" s="7" t="s">
        <v>141</v>
      </c>
      <c r="C33" s="7" t="s">
        <v>142</v>
      </c>
      <c r="D33" s="7" t="s">
        <v>132</v>
      </c>
      <c r="E33" s="7" t="s">
        <v>172</v>
      </c>
      <c r="F33" s="7" t="s">
        <v>173</v>
      </c>
      <c r="G33" s="4" t="str">
        <f t="shared" si="0"/>
        <v>CON-004</v>
      </c>
      <c r="H33" s="4" t="str">
        <f>VLOOKUP($G33,Catalogo_Productos!$A$4:$E$33,2,0)</f>
        <v>Arena (m3)</v>
      </c>
      <c r="I33" s="13">
        <v>4</v>
      </c>
      <c r="J33" s="14">
        <f>VLOOKUP($G33,Catalogo_Productos!$A$4:$E$33,4,0)</f>
        <v>12000</v>
      </c>
      <c r="K33" s="14">
        <f>VLOOKUP($G33,Catalogo_Productos!$A$4:$E$33,5,0)</f>
        <v>7200</v>
      </c>
      <c r="L33" s="14">
        <f t="shared" si="1"/>
        <v>48000</v>
      </c>
      <c r="M33" s="14">
        <f t="shared" si="2"/>
        <v>28800</v>
      </c>
    </row>
    <row r="34" spans="1:13" ht="15" customHeight="1" x14ac:dyDescent="0.2">
      <c r="A34" s="12">
        <v>17</v>
      </c>
      <c r="B34" s="7" t="s">
        <v>146</v>
      </c>
      <c r="C34" s="7" t="s">
        <v>142</v>
      </c>
      <c r="D34" s="7" t="s">
        <v>136</v>
      </c>
      <c r="E34" s="7" t="s">
        <v>137</v>
      </c>
      <c r="F34" s="7" t="s">
        <v>68</v>
      </c>
      <c r="G34" s="4" t="str">
        <f t="shared" si="0"/>
        <v>PIN-005</v>
      </c>
      <c r="H34" s="4" t="str">
        <f>VLOOKUP($G34,Catalogo_Productos!$A$4:$E$33,2,0)</f>
        <v>Rodillo de esponja</v>
      </c>
      <c r="I34" s="13">
        <v>7</v>
      </c>
      <c r="J34" s="14">
        <f>VLOOKUP($G34,Catalogo_Productos!$A$4:$E$33,4,0)</f>
        <v>4500</v>
      </c>
      <c r="K34" s="14">
        <f>VLOOKUP($G34,Catalogo_Productos!$A$4:$E$33,5,0)</f>
        <v>2700</v>
      </c>
      <c r="L34" s="14">
        <f t="shared" si="1"/>
        <v>31500</v>
      </c>
      <c r="M34" s="14">
        <f t="shared" si="2"/>
        <v>18900</v>
      </c>
    </row>
    <row r="35" spans="1:13" ht="15" customHeight="1" x14ac:dyDescent="0.2">
      <c r="A35" s="12">
        <v>18</v>
      </c>
      <c r="B35" s="7" t="s">
        <v>149</v>
      </c>
      <c r="C35" s="7" t="s">
        <v>142</v>
      </c>
      <c r="D35" s="7" t="s">
        <v>139</v>
      </c>
      <c r="E35" s="7" t="s">
        <v>140</v>
      </c>
      <c r="F35" s="7" t="s">
        <v>83</v>
      </c>
      <c r="G35" s="4" t="str">
        <f t="shared" si="0"/>
        <v>HER-006</v>
      </c>
      <c r="H35" s="4" t="str">
        <f>VLOOKUP($G35,Catalogo_Productos!$A$4:$E$33,2,0)</f>
        <v>Nivel de burbuja 60cm</v>
      </c>
      <c r="I35" s="13">
        <v>20</v>
      </c>
      <c r="J35" s="14">
        <f>VLOOKUP($G35,Catalogo_Productos!$A$4:$E$33,4,0)</f>
        <v>7800</v>
      </c>
      <c r="K35" s="14">
        <f>VLOOKUP($G35,Catalogo_Productos!$A$4:$E$33,5,0)</f>
        <v>4680</v>
      </c>
      <c r="L35" s="14">
        <f t="shared" si="1"/>
        <v>156000</v>
      </c>
      <c r="M35" s="14">
        <f t="shared" si="2"/>
        <v>93600</v>
      </c>
    </row>
    <row r="36" spans="1:13" ht="15" customHeight="1" x14ac:dyDescent="0.2">
      <c r="A36" s="12">
        <v>19</v>
      </c>
      <c r="B36" s="7" t="s">
        <v>151</v>
      </c>
      <c r="C36" s="7" t="s">
        <v>152</v>
      </c>
      <c r="D36" s="7" t="s">
        <v>143</v>
      </c>
      <c r="E36" s="7" t="s">
        <v>144</v>
      </c>
      <c r="F36" s="7" t="s">
        <v>174</v>
      </c>
      <c r="G36" s="4" t="str">
        <f t="shared" si="0"/>
        <v>ELE-001</v>
      </c>
      <c r="H36" s="4" t="str">
        <f>VLOOKUP($G36,Catalogo_Productos!$A$4:$E$33,2,0)</f>
        <v>Cable THHN #12 (m)</v>
      </c>
      <c r="I36" s="13">
        <v>18</v>
      </c>
      <c r="J36" s="14">
        <f>VLOOKUP($G36,Catalogo_Productos!$A$4:$E$33,4,0)</f>
        <v>850</v>
      </c>
      <c r="K36" s="14">
        <f>VLOOKUP($G36,Catalogo_Productos!$A$4:$E$33,5,0)</f>
        <v>510</v>
      </c>
      <c r="L36" s="14">
        <f t="shared" si="1"/>
        <v>15300</v>
      </c>
      <c r="M36" s="14">
        <f t="shared" si="2"/>
        <v>9180</v>
      </c>
    </row>
    <row r="37" spans="1:13" ht="15" customHeight="1" x14ac:dyDescent="0.2">
      <c r="A37" s="12">
        <v>20</v>
      </c>
      <c r="B37" s="7" t="s">
        <v>155</v>
      </c>
      <c r="C37" s="7" t="s">
        <v>152</v>
      </c>
      <c r="D37" s="7" t="s">
        <v>147</v>
      </c>
      <c r="E37" s="7" t="s">
        <v>162</v>
      </c>
      <c r="F37" s="7" t="s">
        <v>101</v>
      </c>
      <c r="G37" s="4" t="str">
        <f t="shared" si="0"/>
        <v>PLO-002</v>
      </c>
      <c r="H37" s="4" t="str">
        <f>VLOOKUP($G37,Catalogo_Productos!$A$4:$E$33,2,0)</f>
        <v>Llave de paso 1/2</v>
      </c>
      <c r="I37" s="13">
        <v>9</v>
      </c>
      <c r="J37" s="14">
        <f>VLOOKUP($G37,Catalogo_Productos!$A$4:$E$33,4,0)</f>
        <v>5500</v>
      </c>
      <c r="K37" s="14">
        <f>VLOOKUP($G37,Catalogo_Productos!$A$4:$E$33,5,0)</f>
        <v>3300</v>
      </c>
      <c r="L37" s="14">
        <f t="shared" si="1"/>
        <v>49500</v>
      </c>
      <c r="M37" s="14">
        <f t="shared" si="2"/>
        <v>29700</v>
      </c>
    </row>
    <row r="38" spans="1:13" ht="15" customHeight="1" x14ac:dyDescent="0.2">
      <c r="A38" s="12">
        <v>21</v>
      </c>
      <c r="B38" s="7" t="s">
        <v>158</v>
      </c>
      <c r="C38" s="7" t="s">
        <v>152</v>
      </c>
      <c r="D38" s="7" t="s">
        <v>132</v>
      </c>
      <c r="E38" s="7" t="s">
        <v>133</v>
      </c>
      <c r="F38" s="7" t="s">
        <v>51</v>
      </c>
      <c r="G38" s="4" t="str">
        <f t="shared" si="0"/>
        <v>CON-003</v>
      </c>
      <c r="H38" s="4" t="str">
        <f>VLOOKUP($G38,Catalogo_Productos!$A$4:$E$33,2,0)</f>
        <v>Varilla #3 (6m)</v>
      </c>
      <c r="I38" s="13">
        <v>19</v>
      </c>
      <c r="J38" s="14">
        <f>VLOOKUP($G38,Catalogo_Productos!$A$4:$E$33,4,0)</f>
        <v>3200</v>
      </c>
      <c r="K38" s="14">
        <f>VLOOKUP($G38,Catalogo_Productos!$A$4:$E$33,5,0)</f>
        <v>1920</v>
      </c>
      <c r="L38" s="14">
        <f t="shared" si="1"/>
        <v>60800</v>
      </c>
      <c r="M38" s="14">
        <f t="shared" si="2"/>
        <v>36480</v>
      </c>
    </row>
    <row r="39" spans="1:13" ht="15" customHeight="1" x14ac:dyDescent="0.2">
      <c r="A39" s="12">
        <v>22</v>
      </c>
      <c r="B39" s="7" t="s">
        <v>160</v>
      </c>
      <c r="C39" s="7" t="s">
        <v>161</v>
      </c>
      <c r="D39" s="7" t="s">
        <v>136</v>
      </c>
      <c r="E39" s="7" t="s">
        <v>153</v>
      </c>
      <c r="F39" s="7" t="s">
        <v>175</v>
      </c>
      <c r="G39" s="4" t="str">
        <f t="shared" si="0"/>
        <v>PIN-004</v>
      </c>
      <c r="H39" s="4" t="str">
        <f>VLOOKUP($G39,Catalogo_Productos!$A$4:$E$33,2,0)</f>
        <v>Pintura epoxica 1L</v>
      </c>
      <c r="I39" s="13">
        <v>16</v>
      </c>
      <c r="J39" s="14">
        <f>VLOOKUP($G39,Catalogo_Productos!$A$4:$E$33,4,0)</f>
        <v>28000</v>
      </c>
      <c r="K39" s="14">
        <f>VLOOKUP($G39,Catalogo_Productos!$A$4:$E$33,5,0)</f>
        <v>16800</v>
      </c>
      <c r="L39" s="14">
        <f t="shared" si="1"/>
        <v>448000</v>
      </c>
      <c r="M39" s="14">
        <f t="shared" si="2"/>
        <v>268800</v>
      </c>
    </row>
    <row r="40" spans="1:13" ht="15" customHeight="1" x14ac:dyDescent="0.2">
      <c r="A40" s="12">
        <v>23</v>
      </c>
      <c r="B40" s="7" t="s">
        <v>164</v>
      </c>
      <c r="C40" s="7" t="s">
        <v>161</v>
      </c>
      <c r="D40" s="7" t="s">
        <v>139</v>
      </c>
      <c r="E40" s="7" t="s">
        <v>156</v>
      </c>
      <c r="F40" s="7" t="s">
        <v>81</v>
      </c>
      <c r="G40" s="4" t="str">
        <f t="shared" si="0"/>
        <v>HER-005</v>
      </c>
      <c r="H40" s="4" t="str">
        <f>VLOOKUP($G40,Catalogo_Productos!$A$4:$E$33,2,0)</f>
        <v>Taladro percutor</v>
      </c>
      <c r="I40" s="13">
        <v>5</v>
      </c>
      <c r="J40" s="14">
        <f>VLOOKUP($G40,Catalogo_Productos!$A$4:$E$33,4,0)</f>
        <v>65000</v>
      </c>
      <c r="K40" s="14">
        <f>VLOOKUP($G40,Catalogo_Productos!$A$4:$E$33,5,0)</f>
        <v>39000</v>
      </c>
      <c r="L40" s="14">
        <f t="shared" si="1"/>
        <v>325000</v>
      </c>
      <c r="M40" s="14">
        <f t="shared" si="2"/>
        <v>195000</v>
      </c>
    </row>
    <row r="41" spans="1:13" ht="15" customHeight="1" x14ac:dyDescent="0.2">
      <c r="A41" s="12">
        <v>24</v>
      </c>
      <c r="B41" s="7" t="s">
        <v>166</v>
      </c>
      <c r="C41" s="7" t="s">
        <v>161</v>
      </c>
      <c r="D41" s="7" t="s">
        <v>143</v>
      </c>
      <c r="E41" s="7" t="s">
        <v>159</v>
      </c>
      <c r="F41" s="7" t="s">
        <v>96</v>
      </c>
      <c r="G41" s="4" t="str">
        <f t="shared" si="0"/>
        <v>ELE-006</v>
      </c>
      <c r="H41" s="4" t="str">
        <f>VLOOKUP($G41,Catalogo_Productos!$A$4:$E$33,2,0)</f>
        <v>Interruptor sencillo</v>
      </c>
      <c r="I41" s="13">
        <v>43</v>
      </c>
      <c r="J41" s="14">
        <f>VLOOKUP($G41,Catalogo_Productos!$A$4:$E$33,4,0)</f>
        <v>2800</v>
      </c>
      <c r="K41" s="14">
        <f>VLOOKUP($G41,Catalogo_Productos!$A$4:$E$33,5,0)</f>
        <v>1680</v>
      </c>
      <c r="L41" s="14">
        <f t="shared" si="1"/>
        <v>120400</v>
      </c>
      <c r="M41" s="14">
        <f t="shared" si="2"/>
        <v>72240</v>
      </c>
    </row>
    <row r="42" spans="1:13" ht="15" customHeight="1" x14ac:dyDescent="0.2">
      <c r="A42" s="12">
        <v>25</v>
      </c>
      <c r="B42" s="7" t="s">
        <v>130</v>
      </c>
      <c r="C42" s="7" t="s">
        <v>131</v>
      </c>
      <c r="D42" s="7" t="s">
        <v>147</v>
      </c>
      <c r="E42" s="7" t="s">
        <v>148</v>
      </c>
      <c r="F42" s="7" t="s">
        <v>176</v>
      </c>
      <c r="G42" s="4" t="str">
        <f t="shared" si="0"/>
        <v>PLO-001</v>
      </c>
      <c r="H42" s="4" t="str">
        <f>VLOOKUP($G42,Catalogo_Productos!$A$4:$E$33,2,0)</f>
        <v>Tubo PVC 1/2 (6m)</v>
      </c>
      <c r="I42" s="13">
        <v>19</v>
      </c>
      <c r="J42" s="14">
        <f>VLOOKUP($G42,Catalogo_Productos!$A$4:$E$33,4,0)</f>
        <v>3600</v>
      </c>
      <c r="K42" s="14">
        <f>VLOOKUP($G42,Catalogo_Productos!$A$4:$E$33,5,0)</f>
        <v>2160</v>
      </c>
      <c r="L42" s="14">
        <f t="shared" si="1"/>
        <v>68400</v>
      </c>
      <c r="M42" s="14">
        <f t="shared" si="2"/>
        <v>41040</v>
      </c>
    </row>
    <row r="43" spans="1:13" ht="15" customHeight="1" x14ac:dyDescent="0.2">
      <c r="A43" s="12">
        <v>26</v>
      </c>
      <c r="B43" s="7" t="s">
        <v>135</v>
      </c>
      <c r="C43" s="7" t="s">
        <v>131</v>
      </c>
      <c r="D43" s="7" t="s">
        <v>132</v>
      </c>
      <c r="E43" s="7" t="s">
        <v>150</v>
      </c>
      <c r="F43" s="7" t="s">
        <v>49</v>
      </c>
      <c r="G43" s="4" t="str">
        <f t="shared" si="0"/>
        <v>CON-002</v>
      </c>
      <c r="H43" s="4" t="str">
        <f>VLOOKUP($G43,Catalogo_Productos!$A$4:$E$33,2,0)</f>
        <v>Cemento 50kg</v>
      </c>
      <c r="I43" s="13">
        <v>43</v>
      </c>
      <c r="J43" s="14">
        <f>VLOOKUP($G43,Catalogo_Productos!$A$4:$E$33,4,0)</f>
        <v>8500</v>
      </c>
      <c r="K43" s="14">
        <f>VLOOKUP($G43,Catalogo_Productos!$A$4:$E$33,5,0)</f>
        <v>5100</v>
      </c>
      <c r="L43" s="14">
        <f t="shared" si="1"/>
        <v>365500</v>
      </c>
      <c r="M43" s="14">
        <f t="shared" si="2"/>
        <v>219300</v>
      </c>
    </row>
    <row r="44" spans="1:13" ht="15" customHeight="1" x14ac:dyDescent="0.2">
      <c r="A44" s="12">
        <v>27</v>
      </c>
      <c r="B44" s="7" t="s">
        <v>138</v>
      </c>
      <c r="C44" s="7" t="s">
        <v>131</v>
      </c>
      <c r="D44" s="7" t="s">
        <v>136</v>
      </c>
      <c r="E44" s="7" t="s">
        <v>167</v>
      </c>
      <c r="F44" s="7" t="s">
        <v>64</v>
      </c>
      <c r="G44" s="4" t="str">
        <f t="shared" si="0"/>
        <v>PIN-003</v>
      </c>
      <c r="H44" s="4" t="str">
        <f>VLOOKUP($G44,Catalogo_Productos!$A$4:$E$33,2,0)</f>
        <v>Thinner industrial</v>
      </c>
      <c r="I44" s="13">
        <v>30</v>
      </c>
      <c r="J44" s="14">
        <f>VLOOKUP($G44,Catalogo_Productos!$A$4:$E$33,4,0)</f>
        <v>9800</v>
      </c>
      <c r="K44" s="14">
        <f>VLOOKUP($G44,Catalogo_Productos!$A$4:$E$33,5,0)</f>
        <v>5880</v>
      </c>
      <c r="L44" s="14">
        <f t="shared" si="1"/>
        <v>294000</v>
      </c>
      <c r="M44" s="14">
        <f t="shared" si="2"/>
        <v>176400</v>
      </c>
    </row>
    <row r="45" spans="1:13" ht="15" customHeight="1" x14ac:dyDescent="0.2">
      <c r="A45" s="12">
        <v>28</v>
      </c>
      <c r="B45" s="7" t="s">
        <v>141</v>
      </c>
      <c r="C45" s="7" t="s">
        <v>142</v>
      </c>
      <c r="D45" s="7" t="s">
        <v>139</v>
      </c>
      <c r="E45" s="7" t="s">
        <v>168</v>
      </c>
      <c r="F45" s="7" t="s">
        <v>177</v>
      </c>
      <c r="G45" s="4" t="str">
        <f t="shared" si="0"/>
        <v>HER-004</v>
      </c>
      <c r="H45" s="4" t="str">
        <f>VLOOKUP($G45,Catalogo_Productos!$A$4:$E$33,2,0)</f>
        <v>Cinta metrica 5m</v>
      </c>
      <c r="I45" s="13">
        <v>42</v>
      </c>
      <c r="J45" s="14">
        <f>VLOOKUP($G45,Catalogo_Productos!$A$4:$E$33,4,0)</f>
        <v>3500</v>
      </c>
      <c r="K45" s="14">
        <f>VLOOKUP($G45,Catalogo_Productos!$A$4:$E$33,5,0)</f>
        <v>2100</v>
      </c>
      <c r="L45" s="14">
        <f t="shared" si="1"/>
        <v>147000</v>
      </c>
      <c r="M45" s="14">
        <f t="shared" si="2"/>
        <v>88200</v>
      </c>
    </row>
    <row r="46" spans="1:13" ht="15" customHeight="1" x14ac:dyDescent="0.2">
      <c r="A46" s="12">
        <v>29</v>
      </c>
      <c r="B46" s="7" t="s">
        <v>146</v>
      </c>
      <c r="C46" s="7" t="s">
        <v>142</v>
      </c>
      <c r="D46" s="7" t="s">
        <v>143</v>
      </c>
      <c r="E46" s="7" t="s">
        <v>170</v>
      </c>
      <c r="F46" s="7" t="s">
        <v>178</v>
      </c>
      <c r="G46" s="4" t="str">
        <f t="shared" si="0"/>
        <v>ELE-005</v>
      </c>
      <c r="H46" s="4" t="str">
        <f>VLOOKUP($G46,Catalogo_Productos!$A$4:$E$33,2,0)</f>
        <v>Cinta aislante</v>
      </c>
      <c r="I46" s="13">
        <v>29</v>
      </c>
      <c r="J46" s="14">
        <f>VLOOKUP($G46,Catalogo_Productos!$A$4:$E$33,4,0)</f>
        <v>950</v>
      </c>
      <c r="K46" s="14">
        <f>VLOOKUP($G46,Catalogo_Productos!$A$4:$E$33,5,0)</f>
        <v>570</v>
      </c>
      <c r="L46" s="14">
        <f t="shared" si="1"/>
        <v>27550</v>
      </c>
      <c r="M46" s="14">
        <f t="shared" si="2"/>
        <v>16530</v>
      </c>
    </row>
    <row r="47" spans="1:13" ht="15" customHeight="1" x14ac:dyDescent="0.2">
      <c r="A47" s="12">
        <v>30</v>
      </c>
      <c r="B47" s="7" t="s">
        <v>149</v>
      </c>
      <c r="C47" s="7" t="s">
        <v>142</v>
      </c>
      <c r="D47" s="7" t="s">
        <v>147</v>
      </c>
      <c r="E47" s="7" t="s">
        <v>162</v>
      </c>
      <c r="F47" s="7" t="s">
        <v>109</v>
      </c>
      <c r="G47" s="4" t="str">
        <f t="shared" si="0"/>
        <v>PLO-006</v>
      </c>
      <c r="H47" s="4" t="str">
        <f>VLOOKUP($G47,Catalogo_Productos!$A$4:$E$33,2,0)</f>
        <v>Tee PVC 1/2</v>
      </c>
      <c r="I47" s="13">
        <v>27</v>
      </c>
      <c r="J47" s="14">
        <f>VLOOKUP($G47,Catalogo_Productos!$A$4:$E$33,4,0)</f>
        <v>380</v>
      </c>
      <c r="K47" s="14">
        <f>VLOOKUP($G47,Catalogo_Productos!$A$4:$E$33,5,0)</f>
        <v>228</v>
      </c>
      <c r="L47" s="14">
        <f t="shared" si="1"/>
        <v>10260</v>
      </c>
      <c r="M47" s="14">
        <f t="shared" si="2"/>
        <v>6156</v>
      </c>
    </row>
    <row r="48" spans="1:13" ht="15" customHeight="1" x14ac:dyDescent="0.2">
      <c r="A48" s="12">
        <v>31</v>
      </c>
      <c r="B48" s="7" t="s">
        <v>151</v>
      </c>
      <c r="C48" s="7" t="s">
        <v>152</v>
      </c>
      <c r="D48" s="7" t="s">
        <v>132</v>
      </c>
      <c r="E48" s="7" t="s">
        <v>165</v>
      </c>
      <c r="F48" s="7" t="s">
        <v>134</v>
      </c>
      <c r="G48" s="4" t="str">
        <f t="shared" si="0"/>
        <v>CON-001</v>
      </c>
      <c r="H48" s="4" t="str">
        <f>VLOOKUP($G48,Catalogo_Productos!$A$4:$E$33,2,0)</f>
        <v>Bloque 15x20x40</v>
      </c>
      <c r="I48" s="13">
        <v>9</v>
      </c>
      <c r="J48" s="14">
        <f>VLOOKUP($G48,Catalogo_Productos!$A$4:$E$33,4,0)</f>
        <v>850</v>
      </c>
      <c r="K48" s="14">
        <f>VLOOKUP($G48,Catalogo_Productos!$A$4:$E$33,5,0)</f>
        <v>510</v>
      </c>
      <c r="L48" s="14">
        <f t="shared" si="1"/>
        <v>7650</v>
      </c>
      <c r="M48" s="14">
        <f t="shared" si="2"/>
        <v>4590</v>
      </c>
    </row>
    <row r="49" spans="1:13" ht="15" customHeight="1" x14ac:dyDescent="0.2">
      <c r="A49" s="12">
        <v>32</v>
      </c>
      <c r="B49" s="7" t="s">
        <v>155</v>
      </c>
      <c r="C49" s="7" t="s">
        <v>152</v>
      </c>
      <c r="D49" s="7" t="s">
        <v>136</v>
      </c>
      <c r="E49" s="7" t="s">
        <v>137</v>
      </c>
      <c r="F49" s="7" t="s">
        <v>62</v>
      </c>
      <c r="G49" s="4" t="str">
        <f t="shared" si="0"/>
        <v>PIN-002</v>
      </c>
      <c r="H49" s="4" t="str">
        <f>VLOOKUP($G49,Catalogo_Productos!$A$4:$E$33,2,0)</f>
        <v>Sellador acrilico</v>
      </c>
      <c r="I49" s="13">
        <v>39</v>
      </c>
      <c r="J49" s="14">
        <f>VLOOKUP($G49,Catalogo_Productos!$A$4:$E$33,4,0)</f>
        <v>12000</v>
      </c>
      <c r="K49" s="14">
        <f>VLOOKUP($G49,Catalogo_Productos!$A$4:$E$33,5,0)</f>
        <v>7200</v>
      </c>
      <c r="L49" s="14">
        <f t="shared" si="1"/>
        <v>468000</v>
      </c>
      <c r="M49" s="14">
        <f t="shared" si="2"/>
        <v>280800</v>
      </c>
    </row>
    <row r="50" spans="1:13" ht="15" customHeight="1" x14ac:dyDescent="0.2">
      <c r="A50" s="12">
        <v>33</v>
      </c>
      <c r="B50" s="7" t="s">
        <v>158</v>
      </c>
      <c r="C50" s="7" t="s">
        <v>152</v>
      </c>
      <c r="D50" s="7" t="s">
        <v>139</v>
      </c>
      <c r="E50" s="7" t="s">
        <v>140</v>
      </c>
      <c r="F50" s="7" t="s">
        <v>77</v>
      </c>
      <c r="G50" s="4" t="str">
        <f t="shared" ref="G50:G81" si="3">TRIM(F50)</f>
        <v>HER-003</v>
      </c>
      <c r="H50" s="4" t="str">
        <f>VLOOKUP($G50,Catalogo_Productos!$A$4:$E$33,2,0)</f>
        <v>Sierra circular 7in</v>
      </c>
      <c r="I50" s="13">
        <v>16</v>
      </c>
      <c r="J50" s="14">
        <f>VLOOKUP($G50,Catalogo_Productos!$A$4:$E$33,4,0)</f>
        <v>45000</v>
      </c>
      <c r="K50" s="14">
        <f>VLOOKUP($G50,Catalogo_Productos!$A$4:$E$33,5,0)</f>
        <v>27000</v>
      </c>
      <c r="L50" s="14">
        <f t="shared" ref="L50:L81" si="4">I50*J50</f>
        <v>720000</v>
      </c>
      <c r="M50" s="14">
        <f t="shared" ref="M50:M81" si="5">I50*K50</f>
        <v>432000</v>
      </c>
    </row>
    <row r="51" spans="1:13" ht="15" customHeight="1" x14ac:dyDescent="0.2">
      <c r="A51" s="12">
        <v>34</v>
      </c>
      <c r="B51" s="7" t="s">
        <v>160</v>
      </c>
      <c r="C51" s="7" t="s">
        <v>161</v>
      </c>
      <c r="D51" s="7" t="s">
        <v>143</v>
      </c>
      <c r="E51" s="7" t="s">
        <v>144</v>
      </c>
      <c r="F51" s="7" t="s">
        <v>145</v>
      </c>
      <c r="G51" s="4" t="str">
        <f t="shared" si="3"/>
        <v>ELE-004</v>
      </c>
      <c r="H51" s="4" t="str">
        <f>VLOOKUP($G51,Catalogo_Productos!$A$4:$E$33,2,0)</f>
        <v>Panel 12 circuitos</v>
      </c>
      <c r="I51" s="13">
        <v>40</v>
      </c>
      <c r="J51" s="14">
        <f>VLOOKUP($G51,Catalogo_Productos!$A$4:$E$33,4,0)</f>
        <v>38000</v>
      </c>
      <c r="K51" s="14">
        <f>VLOOKUP($G51,Catalogo_Productos!$A$4:$E$33,5,0)</f>
        <v>22800</v>
      </c>
      <c r="L51" s="14">
        <f t="shared" si="4"/>
        <v>1520000</v>
      </c>
      <c r="M51" s="14">
        <f t="shared" si="5"/>
        <v>912000</v>
      </c>
    </row>
    <row r="52" spans="1:13" ht="15" customHeight="1" x14ac:dyDescent="0.2">
      <c r="A52" s="12">
        <v>35</v>
      </c>
      <c r="B52" s="7" t="s">
        <v>164</v>
      </c>
      <c r="C52" s="7" t="s">
        <v>161</v>
      </c>
      <c r="D52" s="7" t="s">
        <v>147</v>
      </c>
      <c r="E52" s="7" t="s">
        <v>148</v>
      </c>
      <c r="F52" s="7" t="s">
        <v>107</v>
      </c>
      <c r="G52" s="4" t="str">
        <f t="shared" si="3"/>
        <v>PLO-005</v>
      </c>
      <c r="H52" s="4" t="str">
        <f>VLOOKUP($G52,Catalogo_Productos!$A$4:$E$33,2,0)</f>
        <v>Llave de chorro</v>
      </c>
      <c r="I52" s="13">
        <v>14</v>
      </c>
      <c r="J52" s="14">
        <f>VLOOKUP($G52,Catalogo_Productos!$A$4:$E$33,4,0)</f>
        <v>8500</v>
      </c>
      <c r="K52" s="14">
        <f>VLOOKUP($G52,Catalogo_Productos!$A$4:$E$33,5,0)</f>
        <v>5100</v>
      </c>
      <c r="L52" s="14">
        <f t="shared" si="4"/>
        <v>119000</v>
      </c>
      <c r="M52" s="14">
        <f t="shared" si="5"/>
        <v>71400</v>
      </c>
    </row>
    <row r="53" spans="1:13" ht="15" customHeight="1" x14ac:dyDescent="0.2">
      <c r="A53" s="12">
        <v>36</v>
      </c>
      <c r="B53" s="7" t="s">
        <v>166</v>
      </c>
      <c r="C53" s="7" t="s">
        <v>161</v>
      </c>
      <c r="D53" s="7" t="s">
        <v>132</v>
      </c>
      <c r="E53" s="7" t="s">
        <v>172</v>
      </c>
      <c r="F53" s="7" t="s">
        <v>179</v>
      </c>
      <c r="G53" s="4" t="str">
        <f t="shared" si="3"/>
        <v>CON-006</v>
      </c>
      <c r="H53" s="4" t="str">
        <f>VLOOKUP($G53,Catalogo_Productos!$A$4:$E$33,2,0)</f>
        <v>Regla aluminio 2m</v>
      </c>
      <c r="I53" s="13">
        <v>13</v>
      </c>
      <c r="J53" s="14">
        <f>VLOOKUP($G53,Catalogo_Productos!$A$4:$E$33,4,0)</f>
        <v>4500</v>
      </c>
      <c r="K53" s="14">
        <f>VLOOKUP($G53,Catalogo_Productos!$A$4:$E$33,5,0)</f>
        <v>2700</v>
      </c>
      <c r="L53" s="14">
        <f t="shared" si="4"/>
        <v>58500</v>
      </c>
      <c r="M53" s="14">
        <f t="shared" si="5"/>
        <v>35100</v>
      </c>
    </row>
    <row r="54" spans="1:13" ht="15" customHeight="1" x14ac:dyDescent="0.2">
      <c r="A54" s="12">
        <v>37</v>
      </c>
      <c r="B54" s="7" t="s">
        <v>130</v>
      </c>
      <c r="C54" s="7" t="s">
        <v>131</v>
      </c>
      <c r="D54" s="7" t="s">
        <v>136</v>
      </c>
      <c r="E54" s="7" t="s">
        <v>153</v>
      </c>
      <c r="F54" s="7" t="s">
        <v>154</v>
      </c>
      <c r="G54" s="4" t="str">
        <f t="shared" si="3"/>
        <v>PIN-001</v>
      </c>
      <c r="H54" s="4" t="str">
        <f>VLOOKUP($G54,Catalogo_Productos!$A$4:$E$33,2,0)</f>
        <v>Pintura blanca 4L</v>
      </c>
      <c r="I54" s="13">
        <v>9</v>
      </c>
      <c r="J54" s="14">
        <f>VLOOKUP($G54,Catalogo_Productos!$A$4:$E$33,4,0)</f>
        <v>15500</v>
      </c>
      <c r="K54" s="14">
        <f>VLOOKUP($G54,Catalogo_Productos!$A$4:$E$33,5,0)</f>
        <v>9300</v>
      </c>
      <c r="L54" s="14">
        <f t="shared" si="4"/>
        <v>139500</v>
      </c>
      <c r="M54" s="14">
        <f t="shared" si="5"/>
        <v>83700</v>
      </c>
    </row>
    <row r="55" spans="1:13" ht="15" customHeight="1" x14ac:dyDescent="0.2">
      <c r="A55" s="12">
        <v>38</v>
      </c>
      <c r="B55" s="7" t="s">
        <v>135</v>
      </c>
      <c r="C55" s="7" t="s">
        <v>131</v>
      </c>
      <c r="D55" s="7" t="s">
        <v>139</v>
      </c>
      <c r="E55" s="7" t="s">
        <v>156</v>
      </c>
      <c r="F55" s="7" t="s">
        <v>75</v>
      </c>
      <c r="G55" s="4" t="str">
        <f t="shared" si="3"/>
        <v>HER-002</v>
      </c>
      <c r="H55" s="4" t="str">
        <f>VLOOKUP($G55,Catalogo_Productos!$A$4:$E$33,2,0)</f>
        <v>Destornillador set x6</v>
      </c>
      <c r="I55" s="13">
        <v>20</v>
      </c>
      <c r="J55" s="14">
        <f>VLOOKUP($G55,Catalogo_Productos!$A$4:$E$33,4,0)</f>
        <v>12000</v>
      </c>
      <c r="K55" s="14">
        <f>VLOOKUP($G55,Catalogo_Productos!$A$4:$E$33,5,0)</f>
        <v>7200</v>
      </c>
      <c r="L55" s="14">
        <f t="shared" si="4"/>
        <v>240000</v>
      </c>
      <c r="M55" s="14">
        <f t="shared" si="5"/>
        <v>144000</v>
      </c>
    </row>
    <row r="56" spans="1:13" ht="15" customHeight="1" x14ac:dyDescent="0.2">
      <c r="A56" s="12">
        <v>39</v>
      </c>
      <c r="B56" s="7" t="s">
        <v>138</v>
      </c>
      <c r="C56" s="7" t="s">
        <v>131</v>
      </c>
      <c r="D56" s="7" t="s">
        <v>143</v>
      </c>
      <c r="E56" s="7" t="s">
        <v>159</v>
      </c>
      <c r="F56" s="7" t="s">
        <v>90</v>
      </c>
      <c r="G56" s="4" t="str">
        <f t="shared" si="3"/>
        <v>ELE-003</v>
      </c>
      <c r="H56" s="4" t="str">
        <f>VLOOKUP($G56,Catalogo_Productos!$A$4:$E$33,2,0)</f>
        <v>Breaker 20A</v>
      </c>
      <c r="I56" s="13">
        <v>43</v>
      </c>
      <c r="J56" s="14">
        <f>VLOOKUP($G56,Catalogo_Productos!$A$4:$E$33,4,0)</f>
        <v>7800</v>
      </c>
      <c r="K56" s="14">
        <f>VLOOKUP($G56,Catalogo_Productos!$A$4:$E$33,5,0)</f>
        <v>4680</v>
      </c>
      <c r="L56" s="14">
        <f t="shared" si="4"/>
        <v>335400</v>
      </c>
      <c r="M56" s="14">
        <f t="shared" si="5"/>
        <v>201240</v>
      </c>
    </row>
    <row r="57" spans="1:13" ht="15" customHeight="1" x14ac:dyDescent="0.2">
      <c r="A57" s="12">
        <v>40</v>
      </c>
      <c r="B57" s="7" t="s">
        <v>141</v>
      </c>
      <c r="C57" s="7" t="s">
        <v>142</v>
      </c>
      <c r="D57" s="7" t="s">
        <v>147</v>
      </c>
      <c r="E57" s="7" t="s">
        <v>162</v>
      </c>
      <c r="F57" s="7" t="s">
        <v>163</v>
      </c>
      <c r="G57" s="4" t="str">
        <f t="shared" si="3"/>
        <v>PLO-004</v>
      </c>
      <c r="H57" s="4" t="str">
        <f>VLOOKUP($G57,Catalogo_Productos!$A$4:$E$33,2,0)</f>
        <v>Sellador silicona</v>
      </c>
      <c r="I57" s="13">
        <v>45</v>
      </c>
      <c r="J57" s="14">
        <f>VLOOKUP($G57,Catalogo_Productos!$A$4:$E$33,4,0)</f>
        <v>3200</v>
      </c>
      <c r="K57" s="14">
        <f>VLOOKUP($G57,Catalogo_Productos!$A$4:$E$33,5,0)</f>
        <v>1920</v>
      </c>
      <c r="L57" s="14">
        <f t="shared" si="4"/>
        <v>144000</v>
      </c>
      <c r="M57" s="14">
        <f t="shared" si="5"/>
        <v>86400</v>
      </c>
    </row>
    <row r="58" spans="1:13" ht="15" customHeight="1" x14ac:dyDescent="0.2">
      <c r="A58" s="12">
        <v>41</v>
      </c>
      <c r="B58" s="7" t="s">
        <v>146</v>
      </c>
      <c r="C58" s="7" t="s">
        <v>142</v>
      </c>
      <c r="D58" s="7" t="s">
        <v>132</v>
      </c>
      <c r="E58" s="7" t="s">
        <v>133</v>
      </c>
      <c r="F58" s="7" t="s">
        <v>55</v>
      </c>
      <c r="G58" s="4" t="str">
        <f t="shared" si="3"/>
        <v>CON-005</v>
      </c>
      <c r="H58" s="4" t="str">
        <f>VLOOKUP($G58,Catalogo_Productos!$A$4:$E$33,2,0)</f>
        <v>Malla electrosoldada</v>
      </c>
      <c r="I58" s="13">
        <v>31</v>
      </c>
      <c r="J58" s="14">
        <f>VLOOKUP($G58,Catalogo_Productos!$A$4:$E$33,4,0)</f>
        <v>15000</v>
      </c>
      <c r="K58" s="14">
        <f>VLOOKUP($G58,Catalogo_Productos!$A$4:$E$33,5,0)</f>
        <v>9000</v>
      </c>
      <c r="L58" s="14">
        <f t="shared" si="4"/>
        <v>465000</v>
      </c>
      <c r="M58" s="14">
        <f t="shared" si="5"/>
        <v>279000</v>
      </c>
    </row>
    <row r="59" spans="1:13" ht="15" customHeight="1" x14ac:dyDescent="0.2">
      <c r="A59" s="12">
        <v>42</v>
      </c>
      <c r="B59" s="7" t="s">
        <v>149</v>
      </c>
      <c r="C59" s="7" t="s">
        <v>142</v>
      </c>
      <c r="D59" s="7" t="s">
        <v>136</v>
      </c>
      <c r="E59" s="7" t="s">
        <v>167</v>
      </c>
      <c r="F59" s="7" t="s">
        <v>70</v>
      </c>
      <c r="G59" s="4" t="str">
        <f t="shared" si="3"/>
        <v>PIN-006</v>
      </c>
      <c r="H59" s="4" t="str">
        <f>VLOOKUP($G59,Catalogo_Productos!$A$4:$E$33,2,0)</f>
        <v>Brocha 4 pulgadas</v>
      </c>
      <c r="I59" s="13">
        <v>5</v>
      </c>
      <c r="J59" s="14">
        <f>VLOOKUP($G59,Catalogo_Productos!$A$4:$E$33,4,0)</f>
        <v>3200</v>
      </c>
      <c r="K59" s="14">
        <f>VLOOKUP($G59,Catalogo_Productos!$A$4:$E$33,5,0)</f>
        <v>1920</v>
      </c>
      <c r="L59" s="14">
        <f t="shared" si="4"/>
        <v>16000</v>
      </c>
      <c r="M59" s="14">
        <f t="shared" si="5"/>
        <v>9600</v>
      </c>
    </row>
    <row r="60" spans="1:13" ht="15" customHeight="1" x14ac:dyDescent="0.2">
      <c r="A60" s="12">
        <v>43</v>
      </c>
      <c r="B60" s="7" t="s">
        <v>151</v>
      </c>
      <c r="C60" s="7" t="s">
        <v>152</v>
      </c>
      <c r="D60" s="7" t="s">
        <v>139</v>
      </c>
      <c r="E60" s="7" t="s">
        <v>168</v>
      </c>
      <c r="F60" s="7" t="s">
        <v>169</v>
      </c>
      <c r="G60" s="4" t="str">
        <f t="shared" si="3"/>
        <v>HER-001</v>
      </c>
      <c r="H60" s="4" t="str">
        <f>VLOOKUP($G60,Catalogo_Productos!$A$4:$E$33,2,0)</f>
        <v>Martillo 500g</v>
      </c>
      <c r="I60" s="13">
        <v>12</v>
      </c>
      <c r="J60" s="14">
        <f>VLOOKUP($G60,Catalogo_Productos!$A$4:$E$33,4,0)</f>
        <v>8500</v>
      </c>
      <c r="K60" s="14">
        <f>VLOOKUP($G60,Catalogo_Productos!$A$4:$E$33,5,0)</f>
        <v>5100</v>
      </c>
      <c r="L60" s="14">
        <f t="shared" si="4"/>
        <v>102000</v>
      </c>
      <c r="M60" s="14">
        <f t="shared" si="5"/>
        <v>61200</v>
      </c>
    </row>
    <row r="61" spans="1:13" ht="15" customHeight="1" x14ac:dyDescent="0.2">
      <c r="A61" s="12">
        <v>44</v>
      </c>
      <c r="B61" s="7" t="s">
        <v>155</v>
      </c>
      <c r="C61" s="7" t="s">
        <v>152</v>
      </c>
      <c r="D61" s="7" t="s">
        <v>143</v>
      </c>
      <c r="E61" s="7" t="s">
        <v>170</v>
      </c>
      <c r="F61" s="7" t="s">
        <v>88</v>
      </c>
      <c r="G61" s="4" t="str">
        <f t="shared" si="3"/>
        <v>ELE-002</v>
      </c>
      <c r="H61" s="4" t="str">
        <f>VLOOKUP($G61,Catalogo_Productos!$A$4:$E$33,2,0)</f>
        <v>Tomacorriente doble</v>
      </c>
      <c r="I61" s="13">
        <v>31</v>
      </c>
      <c r="J61" s="14">
        <f>VLOOKUP($G61,Catalogo_Productos!$A$4:$E$33,4,0)</f>
        <v>4200</v>
      </c>
      <c r="K61" s="14">
        <f>VLOOKUP($G61,Catalogo_Productos!$A$4:$E$33,5,0)</f>
        <v>2520</v>
      </c>
      <c r="L61" s="14">
        <f t="shared" si="4"/>
        <v>130200</v>
      </c>
      <c r="M61" s="14">
        <f t="shared" si="5"/>
        <v>78120</v>
      </c>
    </row>
    <row r="62" spans="1:13" ht="15" customHeight="1" x14ac:dyDescent="0.2">
      <c r="A62" s="12">
        <v>45</v>
      </c>
      <c r="B62" s="7" t="s">
        <v>158</v>
      </c>
      <c r="C62" s="7" t="s">
        <v>152</v>
      </c>
      <c r="D62" s="7" t="s">
        <v>147</v>
      </c>
      <c r="E62" s="7" t="s">
        <v>148</v>
      </c>
      <c r="F62" s="7" t="s">
        <v>103</v>
      </c>
      <c r="G62" s="4" t="str">
        <f t="shared" si="3"/>
        <v>PLO-003</v>
      </c>
      <c r="H62" s="4" t="str">
        <f>VLOOKUP($G62,Catalogo_Productos!$A$4:$E$33,2,0)</f>
        <v>Codo 90 PVC 1/2</v>
      </c>
      <c r="I62" s="13">
        <v>2</v>
      </c>
      <c r="J62" s="14">
        <f>VLOOKUP($G62,Catalogo_Productos!$A$4:$E$33,4,0)</f>
        <v>450</v>
      </c>
      <c r="K62" s="14">
        <f>VLOOKUP($G62,Catalogo_Productos!$A$4:$E$33,5,0)</f>
        <v>270</v>
      </c>
      <c r="L62" s="14">
        <f t="shared" si="4"/>
        <v>900</v>
      </c>
      <c r="M62" s="14">
        <f t="shared" si="5"/>
        <v>540</v>
      </c>
    </row>
    <row r="63" spans="1:13" ht="15" customHeight="1" x14ac:dyDescent="0.2">
      <c r="A63" s="12">
        <v>46</v>
      </c>
      <c r="B63" s="7" t="s">
        <v>160</v>
      </c>
      <c r="C63" s="7" t="s">
        <v>161</v>
      </c>
      <c r="D63" s="7" t="s">
        <v>132</v>
      </c>
      <c r="E63" s="7" t="s">
        <v>150</v>
      </c>
      <c r="F63" s="7" t="s">
        <v>173</v>
      </c>
      <c r="G63" s="4" t="str">
        <f t="shared" si="3"/>
        <v>CON-004</v>
      </c>
      <c r="H63" s="4" t="str">
        <f>VLOOKUP($G63,Catalogo_Productos!$A$4:$E$33,2,0)</f>
        <v>Arena (m3)</v>
      </c>
      <c r="I63" s="13">
        <v>8</v>
      </c>
      <c r="J63" s="14">
        <f>VLOOKUP($G63,Catalogo_Productos!$A$4:$E$33,4,0)</f>
        <v>12000</v>
      </c>
      <c r="K63" s="14">
        <f>VLOOKUP($G63,Catalogo_Productos!$A$4:$E$33,5,0)</f>
        <v>7200</v>
      </c>
      <c r="L63" s="14">
        <f t="shared" si="4"/>
        <v>96000</v>
      </c>
      <c r="M63" s="14">
        <f t="shared" si="5"/>
        <v>57600</v>
      </c>
    </row>
    <row r="64" spans="1:13" ht="15" customHeight="1" x14ac:dyDescent="0.2">
      <c r="A64" s="12">
        <v>47</v>
      </c>
      <c r="B64" s="7" t="s">
        <v>164</v>
      </c>
      <c r="C64" s="7" t="s">
        <v>161</v>
      </c>
      <c r="D64" s="7" t="s">
        <v>136</v>
      </c>
      <c r="E64" s="7" t="s">
        <v>137</v>
      </c>
      <c r="F64" s="7" t="s">
        <v>68</v>
      </c>
      <c r="G64" s="4" t="str">
        <f t="shared" si="3"/>
        <v>PIN-005</v>
      </c>
      <c r="H64" s="4" t="str">
        <f>VLOOKUP($G64,Catalogo_Productos!$A$4:$E$33,2,0)</f>
        <v>Rodillo de esponja</v>
      </c>
      <c r="I64" s="13">
        <v>18</v>
      </c>
      <c r="J64" s="14">
        <f>VLOOKUP($G64,Catalogo_Productos!$A$4:$E$33,4,0)</f>
        <v>4500</v>
      </c>
      <c r="K64" s="14">
        <f>VLOOKUP($G64,Catalogo_Productos!$A$4:$E$33,5,0)</f>
        <v>2700</v>
      </c>
      <c r="L64" s="14">
        <f t="shared" si="4"/>
        <v>81000</v>
      </c>
      <c r="M64" s="14">
        <f t="shared" si="5"/>
        <v>48600</v>
      </c>
    </row>
    <row r="65" spans="1:13" ht="15" customHeight="1" x14ac:dyDescent="0.2">
      <c r="A65" s="12">
        <v>48</v>
      </c>
      <c r="B65" s="7" t="s">
        <v>166</v>
      </c>
      <c r="C65" s="7" t="s">
        <v>161</v>
      </c>
      <c r="D65" s="7" t="s">
        <v>139</v>
      </c>
      <c r="E65" s="7" t="s">
        <v>140</v>
      </c>
      <c r="F65" s="7" t="s">
        <v>83</v>
      </c>
      <c r="G65" s="4" t="str">
        <f t="shared" si="3"/>
        <v>HER-006</v>
      </c>
      <c r="H65" s="4" t="str">
        <f>VLOOKUP($G65,Catalogo_Productos!$A$4:$E$33,2,0)</f>
        <v>Nivel de burbuja 60cm</v>
      </c>
      <c r="I65" s="13">
        <v>44</v>
      </c>
      <c r="J65" s="14">
        <f>VLOOKUP($G65,Catalogo_Productos!$A$4:$E$33,4,0)</f>
        <v>7800</v>
      </c>
      <c r="K65" s="14">
        <f>VLOOKUP($G65,Catalogo_Productos!$A$4:$E$33,5,0)</f>
        <v>4680</v>
      </c>
      <c r="L65" s="14">
        <f t="shared" si="4"/>
        <v>343200</v>
      </c>
      <c r="M65" s="14">
        <f t="shared" si="5"/>
        <v>205920</v>
      </c>
    </row>
    <row r="66" spans="1:13" ht="15" customHeight="1" x14ac:dyDescent="0.2">
      <c r="A66" s="12">
        <v>49</v>
      </c>
      <c r="B66" s="7" t="s">
        <v>130</v>
      </c>
      <c r="C66" s="7" t="s">
        <v>131</v>
      </c>
      <c r="D66" s="7" t="s">
        <v>143</v>
      </c>
      <c r="E66" s="7" t="s">
        <v>144</v>
      </c>
      <c r="F66" s="7" t="s">
        <v>174</v>
      </c>
      <c r="G66" s="4" t="str">
        <f t="shared" si="3"/>
        <v>ELE-001</v>
      </c>
      <c r="H66" s="4" t="str">
        <f>VLOOKUP($G66,Catalogo_Productos!$A$4:$E$33,2,0)</f>
        <v>Cable THHN #12 (m)</v>
      </c>
      <c r="I66" s="13">
        <v>44</v>
      </c>
      <c r="J66" s="14">
        <f>VLOOKUP($G66,Catalogo_Productos!$A$4:$E$33,4,0)</f>
        <v>850</v>
      </c>
      <c r="K66" s="14">
        <f>VLOOKUP($G66,Catalogo_Productos!$A$4:$E$33,5,0)</f>
        <v>510</v>
      </c>
      <c r="L66" s="14">
        <f t="shared" si="4"/>
        <v>37400</v>
      </c>
      <c r="M66" s="14">
        <f t="shared" si="5"/>
        <v>22440</v>
      </c>
    </row>
    <row r="67" spans="1:13" ht="15" customHeight="1" x14ac:dyDescent="0.2">
      <c r="A67" s="12">
        <v>50</v>
      </c>
      <c r="B67" s="7" t="s">
        <v>135</v>
      </c>
      <c r="C67" s="7" t="s">
        <v>131</v>
      </c>
      <c r="D67" s="7" t="s">
        <v>147</v>
      </c>
      <c r="E67" s="7" t="s">
        <v>162</v>
      </c>
      <c r="F67" s="7" t="s">
        <v>180</v>
      </c>
      <c r="G67" s="4" t="str">
        <f t="shared" si="3"/>
        <v>PLO-002</v>
      </c>
      <c r="H67" s="4" t="str">
        <f>VLOOKUP($G67,Catalogo_Productos!$A$4:$E$33,2,0)</f>
        <v>Llave de paso 1/2</v>
      </c>
      <c r="I67" s="13">
        <v>3</v>
      </c>
      <c r="J67" s="14">
        <f>VLOOKUP($G67,Catalogo_Productos!$A$4:$E$33,4,0)</f>
        <v>5500</v>
      </c>
      <c r="K67" s="14">
        <f>VLOOKUP($G67,Catalogo_Productos!$A$4:$E$33,5,0)</f>
        <v>3300</v>
      </c>
      <c r="L67" s="14">
        <f t="shared" si="4"/>
        <v>16500</v>
      </c>
      <c r="M67" s="14">
        <f t="shared" si="5"/>
        <v>9900</v>
      </c>
    </row>
    <row r="68" spans="1:13" ht="15" customHeight="1" x14ac:dyDescent="0.2">
      <c r="A68" s="12">
        <v>51</v>
      </c>
      <c r="B68" s="7" t="s">
        <v>138</v>
      </c>
      <c r="C68" s="7" t="s">
        <v>131</v>
      </c>
      <c r="D68" s="7" t="s">
        <v>132</v>
      </c>
      <c r="E68" s="7" t="s">
        <v>165</v>
      </c>
      <c r="F68" s="7" t="s">
        <v>51</v>
      </c>
      <c r="G68" s="4" t="str">
        <f t="shared" si="3"/>
        <v>CON-003</v>
      </c>
      <c r="H68" s="4" t="str">
        <f>VLOOKUP($G68,Catalogo_Productos!$A$4:$E$33,2,0)</f>
        <v>Varilla #3 (6m)</v>
      </c>
      <c r="I68" s="13">
        <v>34</v>
      </c>
      <c r="J68" s="14">
        <f>VLOOKUP($G68,Catalogo_Productos!$A$4:$E$33,4,0)</f>
        <v>3200</v>
      </c>
      <c r="K68" s="14">
        <f>VLOOKUP($G68,Catalogo_Productos!$A$4:$E$33,5,0)</f>
        <v>1920</v>
      </c>
      <c r="L68" s="14">
        <f t="shared" si="4"/>
        <v>108800</v>
      </c>
      <c r="M68" s="14">
        <f t="shared" si="5"/>
        <v>65280</v>
      </c>
    </row>
    <row r="69" spans="1:13" ht="15" customHeight="1" x14ac:dyDescent="0.2">
      <c r="A69" s="12">
        <v>52</v>
      </c>
      <c r="B69" s="7" t="s">
        <v>141</v>
      </c>
      <c r="C69" s="7" t="s">
        <v>142</v>
      </c>
      <c r="D69" s="7" t="s">
        <v>136</v>
      </c>
      <c r="E69" s="7" t="s">
        <v>153</v>
      </c>
      <c r="F69" s="7" t="s">
        <v>175</v>
      </c>
      <c r="G69" s="4" t="str">
        <f t="shared" si="3"/>
        <v>PIN-004</v>
      </c>
      <c r="H69" s="4" t="str">
        <f>VLOOKUP($G69,Catalogo_Productos!$A$4:$E$33,2,0)</f>
        <v>Pintura epoxica 1L</v>
      </c>
      <c r="I69" s="13">
        <v>2</v>
      </c>
      <c r="J69" s="14">
        <f>VLOOKUP($G69,Catalogo_Productos!$A$4:$E$33,4,0)</f>
        <v>28000</v>
      </c>
      <c r="K69" s="14">
        <f>VLOOKUP($G69,Catalogo_Productos!$A$4:$E$33,5,0)</f>
        <v>16800</v>
      </c>
      <c r="L69" s="14">
        <f t="shared" si="4"/>
        <v>56000</v>
      </c>
      <c r="M69" s="14">
        <f t="shared" si="5"/>
        <v>33600</v>
      </c>
    </row>
    <row r="70" spans="1:13" ht="15" customHeight="1" x14ac:dyDescent="0.2">
      <c r="A70" s="12">
        <v>53</v>
      </c>
      <c r="B70" s="7" t="s">
        <v>146</v>
      </c>
      <c r="C70" s="7" t="s">
        <v>142</v>
      </c>
      <c r="D70" s="7" t="s">
        <v>139</v>
      </c>
      <c r="E70" s="7" t="s">
        <v>156</v>
      </c>
      <c r="F70" s="7" t="s">
        <v>81</v>
      </c>
      <c r="G70" s="4" t="str">
        <f t="shared" si="3"/>
        <v>HER-005</v>
      </c>
      <c r="H70" s="4" t="str">
        <f>VLOOKUP($G70,Catalogo_Productos!$A$4:$E$33,2,0)</f>
        <v>Taladro percutor</v>
      </c>
      <c r="I70" s="13">
        <v>44</v>
      </c>
      <c r="J70" s="14">
        <f>VLOOKUP($G70,Catalogo_Productos!$A$4:$E$33,4,0)</f>
        <v>65000</v>
      </c>
      <c r="K70" s="14">
        <f>VLOOKUP($G70,Catalogo_Productos!$A$4:$E$33,5,0)</f>
        <v>39000</v>
      </c>
      <c r="L70" s="14">
        <f t="shared" si="4"/>
        <v>2860000</v>
      </c>
      <c r="M70" s="14">
        <f t="shared" si="5"/>
        <v>1716000</v>
      </c>
    </row>
    <row r="71" spans="1:13" ht="15" customHeight="1" x14ac:dyDescent="0.2">
      <c r="A71" s="12">
        <v>54</v>
      </c>
      <c r="B71" s="7" t="s">
        <v>149</v>
      </c>
      <c r="C71" s="7" t="s">
        <v>142</v>
      </c>
      <c r="D71" s="7" t="s">
        <v>143</v>
      </c>
      <c r="E71" s="7" t="s">
        <v>159</v>
      </c>
      <c r="F71" s="7" t="s">
        <v>96</v>
      </c>
      <c r="G71" s="4" t="str">
        <f t="shared" si="3"/>
        <v>ELE-006</v>
      </c>
      <c r="H71" s="4" t="str">
        <f>VLOOKUP($G71,Catalogo_Productos!$A$4:$E$33,2,0)</f>
        <v>Interruptor sencillo</v>
      </c>
      <c r="I71" s="13">
        <v>10</v>
      </c>
      <c r="J71" s="14">
        <f>VLOOKUP($G71,Catalogo_Productos!$A$4:$E$33,4,0)</f>
        <v>2800</v>
      </c>
      <c r="K71" s="14">
        <f>VLOOKUP($G71,Catalogo_Productos!$A$4:$E$33,5,0)</f>
        <v>1680</v>
      </c>
      <c r="L71" s="14">
        <f t="shared" si="4"/>
        <v>28000</v>
      </c>
      <c r="M71" s="14">
        <f t="shared" si="5"/>
        <v>16800</v>
      </c>
    </row>
    <row r="72" spans="1:13" ht="15" customHeight="1" x14ac:dyDescent="0.2">
      <c r="A72" s="12">
        <v>55</v>
      </c>
      <c r="B72" s="7" t="s">
        <v>151</v>
      </c>
      <c r="C72" s="7" t="s">
        <v>152</v>
      </c>
      <c r="D72" s="7" t="s">
        <v>147</v>
      </c>
      <c r="E72" s="7" t="s">
        <v>148</v>
      </c>
      <c r="F72" s="7" t="s">
        <v>176</v>
      </c>
      <c r="G72" s="4" t="str">
        <f t="shared" si="3"/>
        <v>PLO-001</v>
      </c>
      <c r="H72" s="4" t="str">
        <f>VLOOKUP($G72,Catalogo_Productos!$A$4:$E$33,2,0)</f>
        <v>Tubo PVC 1/2 (6m)</v>
      </c>
      <c r="I72" s="13">
        <v>10</v>
      </c>
      <c r="J72" s="14">
        <f>VLOOKUP($G72,Catalogo_Productos!$A$4:$E$33,4,0)</f>
        <v>3600</v>
      </c>
      <c r="K72" s="14">
        <f>VLOOKUP($G72,Catalogo_Productos!$A$4:$E$33,5,0)</f>
        <v>2160</v>
      </c>
      <c r="L72" s="14">
        <f t="shared" si="4"/>
        <v>36000</v>
      </c>
      <c r="M72" s="14">
        <f t="shared" si="5"/>
        <v>21600</v>
      </c>
    </row>
    <row r="73" spans="1:13" ht="15" customHeight="1" x14ac:dyDescent="0.2">
      <c r="A73" s="12">
        <v>56</v>
      </c>
      <c r="B73" s="7" t="s">
        <v>155</v>
      </c>
      <c r="C73" s="7" t="s">
        <v>152</v>
      </c>
      <c r="D73" s="7" t="s">
        <v>132</v>
      </c>
      <c r="E73" s="7" t="s">
        <v>172</v>
      </c>
      <c r="F73" s="7" t="s">
        <v>49</v>
      </c>
      <c r="G73" s="4" t="str">
        <f t="shared" si="3"/>
        <v>CON-002</v>
      </c>
      <c r="H73" s="4" t="str">
        <f>VLOOKUP($G73,Catalogo_Productos!$A$4:$E$33,2,0)</f>
        <v>Cemento 50kg</v>
      </c>
      <c r="I73" s="13">
        <v>8</v>
      </c>
      <c r="J73" s="14">
        <f>VLOOKUP($G73,Catalogo_Productos!$A$4:$E$33,4,0)</f>
        <v>8500</v>
      </c>
      <c r="K73" s="14">
        <f>VLOOKUP($G73,Catalogo_Productos!$A$4:$E$33,5,0)</f>
        <v>5100</v>
      </c>
      <c r="L73" s="14">
        <f t="shared" si="4"/>
        <v>68000</v>
      </c>
      <c r="M73" s="14">
        <f t="shared" si="5"/>
        <v>40800</v>
      </c>
    </row>
    <row r="74" spans="1:13" ht="15" customHeight="1" x14ac:dyDescent="0.2">
      <c r="A74" s="12">
        <v>57</v>
      </c>
      <c r="B74" s="7" t="s">
        <v>158</v>
      </c>
      <c r="C74" s="7" t="s">
        <v>152</v>
      </c>
      <c r="D74" s="7" t="s">
        <v>136</v>
      </c>
      <c r="E74" s="7" t="s">
        <v>167</v>
      </c>
      <c r="F74" s="7" t="s">
        <v>181</v>
      </c>
      <c r="G74" s="4" t="str">
        <f t="shared" si="3"/>
        <v>PIN-003</v>
      </c>
      <c r="H74" s="4" t="str">
        <f>VLOOKUP($G74,Catalogo_Productos!$A$4:$E$33,2,0)</f>
        <v>Thinner industrial</v>
      </c>
      <c r="I74" s="13">
        <v>15</v>
      </c>
      <c r="J74" s="14">
        <f>VLOOKUP($G74,Catalogo_Productos!$A$4:$E$33,4,0)</f>
        <v>9800</v>
      </c>
      <c r="K74" s="14">
        <f>VLOOKUP($G74,Catalogo_Productos!$A$4:$E$33,5,0)</f>
        <v>5880</v>
      </c>
      <c r="L74" s="14">
        <f t="shared" si="4"/>
        <v>147000</v>
      </c>
      <c r="M74" s="14">
        <f t="shared" si="5"/>
        <v>88200</v>
      </c>
    </row>
    <row r="75" spans="1:13" ht="15" customHeight="1" x14ac:dyDescent="0.2">
      <c r="A75" s="12">
        <v>58</v>
      </c>
      <c r="B75" s="7" t="s">
        <v>160</v>
      </c>
      <c r="C75" s="7" t="s">
        <v>161</v>
      </c>
      <c r="D75" s="7" t="s">
        <v>139</v>
      </c>
      <c r="E75" s="7" t="s">
        <v>168</v>
      </c>
      <c r="F75" s="7" t="s">
        <v>177</v>
      </c>
      <c r="G75" s="4" t="str">
        <f t="shared" si="3"/>
        <v>HER-004</v>
      </c>
      <c r="H75" s="4" t="str">
        <f>VLOOKUP($G75,Catalogo_Productos!$A$4:$E$33,2,0)</f>
        <v>Cinta metrica 5m</v>
      </c>
      <c r="I75" s="13">
        <v>16</v>
      </c>
      <c r="J75" s="14">
        <f>VLOOKUP($G75,Catalogo_Productos!$A$4:$E$33,4,0)</f>
        <v>3500</v>
      </c>
      <c r="K75" s="14">
        <f>VLOOKUP($G75,Catalogo_Productos!$A$4:$E$33,5,0)</f>
        <v>2100</v>
      </c>
      <c r="L75" s="14">
        <f t="shared" si="4"/>
        <v>56000</v>
      </c>
      <c r="M75" s="14">
        <f t="shared" si="5"/>
        <v>33600</v>
      </c>
    </row>
    <row r="76" spans="1:13" ht="15" customHeight="1" x14ac:dyDescent="0.2">
      <c r="A76" s="12">
        <v>59</v>
      </c>
      <c r="B76" s="7" t="s">
        <v>164</v>
      </c>
      <c r="C76" s="7" t="s">
        <v>161</v>
      </c>
      <c r="D76" s="7" t="s">
        <v>143</v>
      </c>
      <c r="E76" s="7" t="s">
        <v>170</v>
      </c>
      <c r="F76" s="7" t="s">
        <v>94</v>
      </c>
      <c r="G76" s="4" t="str">
        <f t="shared" si="3"/>
        <v>ELE-005</v>
      </c>
      <c r="H76" s="4" t="str">
        <f>VLOOKUP($G76,Catalogo_Productos!$A$4:$E$33,2,0)</f>
        <v>Cinta aislante</v>
      </c>
      <c r="I76" s="13">
        <v>10</v>
      </c>
      <c r="J76" s="14">
        <f>VLOOKUP($G76,Catalogo_Productos!$A$4:$E$33,4,0)</f>
        <v>950</v>
      </c>
      <c r="K76" s="14">
        <f>VLOOKUP($G76,Catalogo_Productos!$A$4:$E$33,5,0)</f>
        <v>570</v>
      </c>
      <c r="L76" s="14">
        <f t="shared" si="4"/>
        <v>9500</v>
      </c>
      <c r="M76" s="14">
        <f t="shared" si="5"/>
        <v>5700</v>
      </c>
    </row>
    <row r="77" spans="1:13" ht="15" customHeight="1" x14ac:dyDescent="0.2">
      <c r="A77" s="12">
        <v>60</v>
      </c>
      <c r="B77" s="7" t="s">
        <v>166</v>
      </c>
      <c r="C77" s="7" t="s">
        <v>161</v>
      </c>
      <c r="D77" s="7" t="s">
        <v>147</v>
      </c>
      <c r="E77" s="7" t="s">
        <v>162</v>
      </c>
      <c r="F77" s="7" t="s">
        <v>109</v>
      </c>
      <c r="G77" s="4" t="str">
        <f t="shared" si="3"/>
        <v>PLO-006</v>
      </c>
      <c r="H77" s="4" t="str">
        <f>VLOOKUP($G77,Catalogo_Productos!$A$4:$E$33,2,0)</f>
        <v>Tee PVC 1/2</v>
      </c>
      <c r="I77" s="13">
        <v>10</v>
      </c>
      <c r="J77" s="14">
        <f>VLOOKUP($G77,Catalogo_Productos!$A$4:$E$33,4,0)</f>
        <v>380</v>
      </c>
      <c r="K77" s="14">
        <f>VLOOKUP($G77,Catalogo_Productos!$A$4:$E$33,5,0)</f>
        <v>228</v>
      </c>
      <c r="L77" s="14">
        <f t="shared" si="4"/>
        <v>3800</v>
      </c>
      <c r="M77" s="14">
        <f t="shared" si="5"/>
        <v>2280</v>
      </c>
    </row>
    <row r="78" spans="1:13" ht="15" customHeight="1" x14ac:dyDescent="0.2">
      <c r="A78" s="12">
        <v>61</v>
      </c>
      <c r="B78" s="7" t="s">
        <v>130</v>
      </c>
      <c r="C78" s="7" t="s">
        <v>131</v>
      </c>
      <c r="D78" s="7" t="s">
        <v>132</v>
      </c>
      <c r="E78" s="7" t="s">
        <v>133</v>
      </c>
      <c r="F78" s="7" t="s">
        <v>134</v>
      </c>
      <c r="G78" s="4" t="str">
        <f t="shared" si="3"/>
        <v>CON-001</v>
      </c>
      <c r="H78" s="4" t="str">
        <f>VLOOKUP($G78,Catalogo_Productos!$A$4:$E$33,2,0)</f>
        <v>Bloque 15x20x40</v>
      </c>
      <c r="I78" s="13">
        <v>30</v>
      </c>
      <c r="J78" s="14">
        <f>VLOOKUP($G78,Catalogo_Productos!$A$4:$E$33,4,0)</f>
        <v>850</v>
      </c>
      <c r="K78" s="14">
        <f>VLOOKUP($G78,Catalogo_Productos!$A$4:$E$33,5,0)</f>
        <v>510</v>
      </c>
      <c r="L78" s="14">
        <f t="shared" si="4"/>
        <v>25500</v>
      </c>
      <c r="M78" s="14">
        <f t="shared" si="5"/>
        <v>15300</v>
      </c>
    </row>
    <row r="79" spans="1:13" ht="15" customHeight="1" x14ac:dyDescent="0.2">
      <c r="A79" s="12">
        <v>62</v>
      </c>
      <c r="B79" s="7" t="s">
        <v>135</v>
      </c>
      <c r="C79" s="7" t="s">
        <v>131</v>
      </c>
      <c r="D79" s="7" t="s">
        <v>136</v>
      </c>
      <c r="E79" s="7" t="s">
        <v>137</v>
      </c>
      <c r="F79" s="7" t="s">
        <v>62</v>
      </c>
      <c r="G79" s="4" t="str">
        <f t="shared" si="3"/>
        <v>PIN-002</v>
      </c>
      <c r="H79" s="4" t="str">
        <f>VLOOKUP($G79,Catalogo_Productos!$A$4:$E$33,2,0)</f>
        <v>Sellador acrilico</v>
      </c>
      <c r="I79" s="13">
        <v>13</v>
      </c>
      <c r="J79" s="14">
        <f>VLOOKUP($G79,Catalogo_Productos!$A$4:$E$33,4,0)</f>
        <v>12000</v>
      </c>
      <c r="K79" s="14">
        <f>VLOOKUP($G79,Catalogo_Productos!$A$4:$E$33,5,0)</f>
        <v>7200</v>
      </c>
      <c r="L79" s="14">
        <f t="shared" si="4"/>
        <v>156000</v>
      </c>
      <c r="M79" s="14">
        <f t="shared" si="5"/>
        <v>93600</v>
      </c>
    </row>
    <row r="80" spans="1:13" ht="15" customHeight="1" x14ac:dyDescent="0.2">
      <c r="A80" s="12">
        <v>63</v>
      </c>
      <c r="B80" s="7" t="s">
        <v>138</v>
      </c>
      <c r="C80" s="7" t="s">
        <v>131</v>
      </c>
      <c r="D80" s="7" t="s">
        <v>139</v>
      </c>
      <c r="E80" s="7" t="s">
        <v>140</v>
      </c>
      <c r="F80" s="7" t="s">
        <v>77</v>
      </c>
      <c r="G80" s="4" t="str">
        <f t="shared" si="3"/>
        <v>HER-003</v>
      </c>
      <c r="H80" s="4" t="str">
        <f>VLOOKUP($G80,Catalogo_Productos!$A$4:$E$33,2,0)</f>
        <v>Sierra circular 7in</v>
      </c>
      <c r="I80" s="13">
        <v>42</v>
      </c>
      <c r="J80" s="14">
        <f>VLOOKUP($G80,Catalogo_Productos!$A$4:$E$33,4,0)</f>
        <v>45000</v>
      </c>
      <c r="K80" s="14">
        <f>VLOOKUP($G80,Catalogo_Productos!$A$4:$E$33,5,0)</f>
        <v>27000</v>
      </c>
      <c r="L80" s="14">
        <f t="shared" si="4"/>
        <v>1890000</v>
      </c>
      <c r="M80" s="14">
        <f t="shared" si="5"/>
        <v>1134000</v>
      </c>
    </row>
    <row r="81" spans="1:13" ht="15" customHeight="1" x14ac:dyDescent="0.2">
      <c r="A81" s="12">
        <v>64</v>
      </c>
      <c r="B81" s="7" t="s">
        <v>141</v>
      </c>
      <c r="C81" s="7" t="s">
        <v>142</v>
      </c>
      <c r="D81" s="7" t="s">
        <v>143</v>
      </c>
      <c r="E81" s="7" t="s">
        <v>144</v>
      </c>
      <c r="F81" s="7" t="s">
        <v>145</v>
      </c>
      <c r="G81" s="4" t="str">
        <f t="shared" si="3"/>
        <v>ELE-004</v>
      </c>
      <c r="H81" s="4" t="str">
        <f>VLOOKUP($G81,Catalogo_Productos!$A$4:$E$33,2,0)</f>
        <v>Panel 12 circuitos</v>
      </c>
      <c r="I81" s="13">
        <v>8</v>
      </c>
      <c r="J81" s="14">
        <f>VLOOKUP($G81,Catalogo_Productos!$A$4:$E$33,4,0)</f>
        <v>38000</v>
      </c>
      <c r="K81" s="14">
        <f>VLOOKUP($G81,Catalogo_Productos!$A$4:$E$33,5,0)</f>
        <v>22800</v>
      </c>
      <c r="L81" s="14">
        <f t="shared" si="4"/>
        <v>304000</v>
      </c>
      <c r="M81" s="14">
        <f t="shared" si="5"/>
        <v>182400</v>
      </c>
    </row>
    <row r="82" spans="1:13" ht="15" customHeight="1" x14ac:dyDescent="0.2">
      <c r="A82" s="12">
        <v>65</v>
      </c>
      <c r="B82" s="7" t="s">
        <v>146</v>
      </c>
      <c r="C82" s="7" t="s">
        <v>142</v>
      </c>
      <c r="D82" s="7" t="s">
        <v>147</v>
      </c>
      <c r="E82" s="7" t="s">
        <v>148</v>
      </c>
      <c r="F82" s="7" t="s">
        <v>107</v>
      </c>
      <c r="G82" s="4" t="str">
        <f t="shared" ref="G82:G107" si="6">TRIM(F82)</f>
        <v>PLO-005</v>
      </c>
      <c r="H82" s="4" t="str">
        <f>VLOOKUP($G82,Catalogo_Productos!$A$4:$E$33,2,0)</f>
        <v>Llave de chorro</v>
      </c>
      <c r="I82" s="13">
        <v>20</v>
      </c>
      <c r="J82" s="14">
        <f>VLOOKUP($G82,Catalogo_Productos!$A$4:$E$33,4,0)</f>
        <v>8500</v>
      </c>
      <c r="K82" s="14">
        <f>VLOOKUP($G82,Catalogo_Productos!$A$4:$E$33,5,0)</f>
        <v>5100</v>
      </c>
      <c r="L82" s="14">
        <f t="shared" ref="L82:L107" si="7">I82*J82</f>
        <v>170000</v>
      </c>
      <c r="M82" s="14">
        <f t="shared" ref="M82:M107" si="8">I82*K82</f>
        <v>102000</v>
      </c>
    </row>
    <row r="83" spans="1:13" ht="15" customHeight="1" x14ac:dyDescent="0.2">
      <c r="A83" s="12">
        <v>66</v>
      </c>
      <c r="B83" s="7" t="s">
        <v>149</v>
      </c>
      <c r="C83" s="7" t="s">
        <v>142</v>
      </c>
      <c r="D83" s="7" t="s">
        <v>132</v>
      </c>
      <c r="E83" s="7" t="s">
        <v>150</v>
      </c>
      <c r="F83" s="7" t="s">
        <v>57</v>
      </c>
      <c r="G83" s="4" t="str">
        <f t="shared" si="6"/>
        <v>CON-006</v>
      </c>
      <c r="H83" s="4" t="str">
        <f>VLOOKUP($G83,Catalogo_Productos!$A$4:$E$33,2,0)</f>
        <v>Regla aluminio 2m</v>
      </c>
      <c r="I83" s="13">
        <v>41</v>
      </c>
      <c r="J83" s="14">
        <f>VLOOKUP($G83,Catalogo_Productos!$A$4:$E$33,4,0)</f>
        <v>4500</v>
      </c>
      <c r="K83" s="14">
        <f>VLOOKUP($G83,Catalogo_Productos!$A$4:$E$33,5,0)</f>
        <v>2700</v>
      </c>
      <c r="L83" s="14">
        <f t="shared" si="7"/>
        <v>184500</v>
      </c>
      <c r="M83" s="14">
        <f t="shared" si="8"/>
        <v>110700</v>
      </c>
    </row>
    <row r="84" spans="1:13" ht="15" customHeight="1" x14ac:dyDescent="0.2">
      <c r="A84" s="12">
        <v>67</v>
      </c>
      <c r="B84" s="7" t="s">
        <v>151</v>
      </c>
      <c r="C84" s="7" t="s">
        <v>152</v>
      </c>
      <c r="D84" s="7" t="s">
        <v>136</v>
      </c>
      <c r="E84" s="7" t="s">
        <v>153</v>
      </c>
      <c r="F84" s="7" t="s">
        <v>154</v>
      </c>
      <c r="G84" s="4" t="str">
        <f t="shared" si="6"/>
        <v>PIN-001</v>
      </c>
      <c r="H84" s="4" t="str">
        <f>VLOOKUP($G84,Catalogo_Productos!$A$4:$E$33,2,0)</f>
        <v>Pintura blanca 4L</v>
      </c>
      <c r="I84" s="13">
        <v>45</v>
      </c>
      <c r="J84" s="14">
        <f>VLOOKUP($G84,Catalogo_Productos!$A$4:$E$33,4,0)</f>
        <v>15500</v>
      </c>
      <c r="K84" s="14">
        <f>VLOOKUP($G84,Catalogo_Productos!$A$4:$E$33,5,0)</f>
        <v>9300</v>
      </c>
      <c r="L84" s="14">
        <f t="shared" si="7"/>
        <v>697500</v>
      </c>
      <c r="M84" s="14">
        <f t="shared" si="8"/>
        <v>418500</v>
      </c>
    </row>
    <row r="85" spans="1:13" ht="15" customHeight="1" x14ac:dyDescent="0.2">
      <c r="A85" s="12">
        <v>68</v>
      </c>
      <c r="B85" s="7" t="s">
        <v>155</v>
      </c>
      <c r="C85" s="7" t="s">
        <v>152</v>
      </c>
      <c r="D85" s="7" t="s">
        <v>139</v>
      </c>
      <c r="E85" s="7" t="s">
        <v>156</v>
      </c>
      <c r="F85" s="7" t="s">
        <v>75</v>
      </c>
      <c r="G85" s="4" t="str">
        <f t="shared" si="6"/>
        <v>HER-002</v>
      </c>
      <c r="H85" s="4" t="str">
        <f>VLOOKUP($G85,Catalogo_Productos!$A$4:$E$33,2,0)</f>
        <v>Destornillador set x6</v>
      </c>
      <c r="I85" s="13">
        <v>2</v>
      </c>
      <c r="J85" s="14">
        <f>VLOOKUP($G85,Catalogo_Productos!$A$4:$E$33,4,0)</f>
        <v>12000</v>
      </c>
      <c r="K85" s="14">
        <f>VLOOKUP($G85,Catalogo_Productos!$A$4:$E$33,5,0)</f>
        <v>7200</v>
      </c>
      <c r="L85" s="14">
        <f t="shared" si="7"/>
        <v>24000</v>
      </c>
      <c r="M85" s="14">
        <f t="shared" si="8"/>
        <v>14400</v>
      </c>
    </row>
    <row r="86" spans="1:13" ht="15" customHeight="1" x14ac:dyDescent="0.2">
      <c r="A86" s="12">
        <v>69</v>
      </c>
      <c r="B86" s="7" t="s">
        <v>158</v>
      </c>
      <c r="C86" s="7" t="s">
        <v>152</v>
      </c>
      <c r="D86" s="7" t="s">
        <v>143</v>
      </c>
      <c r="E86" s="7" t="s">
        <v>159</v>
      </c>
      <c r="F86" s="7" t="s">
        <v>90</v>
      </c>
      <c r="G86" s="4" t="str">
        <f t="shared" si="6"/>
        <v>ELE-003</v>
      </c>
      <c r="H86" s="4" t="str">
        <f>VLOOKUP($G86,Catalogo_Productos!$A$4:$E$33,2,0)</f>
        <v>Breaker 20A</v>
      </c>
      <c r="I86" s="13">
        <v>26</v>
      </c>
      <c r="J86" s="14">
        <f>VLOOKUP($G86,Catalogo_Productos!$A$4:$E$33,4,0)</f>
        <v>7800</v>
      </c>
      <c r="K86" s="14">
        <f>VLOOKUP($G86,Catalogo_Productos!$A$4:$E$33,5,0)</f>
        <v>4680</v>
      </c>
      <c r="L86" s="14">
        <f t="shared" si="7"/>
        <v>202800</v>
      </c>
      <c r="M86" s="14">
        <f t="shared" si="8"/>
        <v>121680</v>
      </c>
    </row>
    <row r="87" spans="1:13" ht="15" customHeight="1" x14ac:dyDescent="0.2">
      <c r="A87" s="12">
        <v>70</v>
      </c>
      <c r="B87" s="7" t="s">
        <v>160</v>
      </c>
      <c r="C87" s="7" t="s">
        <v>161</v>
      </c>
      <c r="D87" s="7" t="s">
        <v>147</v>
      </c>
      <c r="E87" s="7" t="s">
        <v>162</v>
      </c>
      <c r="F87" s="7" t="s">
        <v>163</v>
      </c>
      <c r="G87" s="4" t="str">
        <f t="shared" si="6"/>
        <v>PLO-004</v>
      </c>
      <c r="H87" s="4" t="str">
        <f>VLOOKUP($G87,Catalogo_Productos!$A$4:$E$33,2,0)</f>
        <v>Sellador silicona</v>
      </c>
      <c r="I87" s="13">
        <v>20</v>
      </c>
      <c r="J87" s="14">
        <f>VLOOKUP($G87,Catalogo_Productos!$A$4:$E$33,4,0)</f>
        <v>3200</v>
      </c>
      <c r="K87" s="14">
        <f>VLOOKUP($G87,Catalogo_Productos!$A$4:$E$33,5,0)</f>
        <v>1920</v>
      </c>
      <c r="L87" s="14">
        <f t="shared" si="7"/>
        <v>64000</v>
      </c>
      <c r="M87" s="14">
        <f t="shared" si="8"/>
        <v>38400</v>
      </c>
    </row>
    <row r="88" spans="1:13" ht="15" customHeight="1" x14ac:dyDescent="0.2">
      <c r="A88" s="12">
        <v>71</v>
      </c>
      <c r="B88" s="7" t="s">
        <v>164</v>
      </c>
      <c r="C88" s="7" t="s">
        <v>161</v>
      </c>
      <c r="D88" s="7" t="s">
        <v>132</v>
      </c>
      <c r="E88" s="7" t="s">
        <v>165</v>
      </c>
      <c r="F88" s="7" t="s">
        <v>182</v>
      </c>
      <c r="G88" s="4" t="str">
        <f t="shared" si="6"/>
        <v>CON-005</v>
      </c>
      <c r="H88" s="4" t="str">
        <f>VLOOKUP($G88,Catalogo_Productos!$A$4:$E$33,2,0)</f>
        <v>Malla electrosoldada</v>
      </c>
      <c r="I88" s="13">
        <v>31</v>
      </c>
      <c r="J88" s="14">
        <f>VLOOKUP($G88,Catalogo_Productos!$A$4:$E$33,4,0)</f>
        <v>15000</v>
      </c>
      <c r="K88" s="14">
        <f>VLOOKUP($G88,Catalogo_Productos!$A$4:$E$33,5,0)</f>
        <v>9000</v>
      </c>
      <c r="L88" s="14">
        <f t="shared" si="7"/>
        <v>465000</v>
      </c>
      <c r="M88" s="14">
        <f t="shared" si="8"/>
        <v>279000</v>
      </c>
    </row>
    <row r="89" spans="1:13" ht="15" customHeight="1" x14ac:dyDescent="0.2">
      <c r="A89" s="12">
        <v>72</v>
      </c>
      <c r="B89" s="7" t="s">
        <v>166</v>
      </c>
      <c r="C89" s="7" t="s">
        <v>161</v>
      </c>
      <c r="D89" s="7" t="s">
        <v>136</v>
      </c>
      <c r="E89" s="7" t="s">
        <v>167</v>
      </c>
      <c r="F89" s="7" t="s">
        <v>70</v>
      </c>
      <c r="G89" s="4" t="str">
        <f t="shared" si="6"/>
        <v>PIN-006</v>
      </c>
      <c r="H89" s="4" t="str">
        <f>VLOOKUP($G89,Catalogo_Productos!$A$4:$E$33,2,0)</f>
        <v>Brocha 4 pulgadas</v>
      </c>
      <c r="I89" s="13">
        <v>6</v>
      </c>
      <c r="J89" s="14">
        <f>VLOOKUP($G89,Catalogo_Productos!$A$4:$E$33,4,0)</f>
        <v>3200</v>
      </c>
      <c r="K89" s="14">
        <f>VLOOKUP($G89,Catalogo_Productos!$A$4:$E$33,5,0)</f>
        <v>1920</v>
      </c>
      <c r="L89" s="14">
        <f t="shared" si="7"/>
        <v>19200</v>
      </c>
      <c r="M89" s="14">
        <f t="shared" si="8"/>
        <v>11520</v>
      </c>
    </row>
    <row r="90" spans="1:13" ht="15" customHeight="1" x14ac:dyDescent="0.2">
      <c r="A90" s="12">
        <v>73</v>
      </c>
      <c r="B90" s="7" t="s">
        <v>130</v>
      </c>
      <c r="C90" s="7" t="s">
        <v>131</v>
      </c>
      <c r="D90" s="7" t="s">
        <v>139</v>
      </c>
      <c r="E90" s="7" t="s">
        <v>168</v>
      </c>
      <c r="F90" s="7" t="s">
        <v>169</v>
      </c>
      <c r="G90" s="4" t="str">
        <f t="shared" si="6"/>
        <v>HER-001</v>
      </c>
      <c r="H90" s="4" t="str">
        <f>VLOOKUP($G90,Catalogo_Productos!$A$4:$E$33,2,0)</f>
        <v>Martillo 500g</v>
      </c>
      <c r="I90" s="13">
        <v>15</v>
      </c>
      <c r="J90" s="14">
        <f>VLOOKUP($G90,Catalogo_Productos!$A$4:$E$33,4,0)</f>
        <v>8500</v>
      </c>
      <c r="K90" s="14">
        <f>VLOOKUP($G90,Catalogo_Productos!$A$4:$E$33,5,0)</f>
        <v>5100</v>
      </c>
      <c r="L90" s="14">
        <f t="shared" si="7"/>
        <v>127500</v>
      </c>
      <c r="M90" s="14">
        <f t="shared" si="8"/>
        <v>76500</v>
      </c>
    </row>
    <row r="91" spans="1:13" ht="15" customHeight="1" x14ac:dyDescent="0.2">
      <c r="A91" s="12">
        <v>74</v>
      </c>
      <c r="B91" s="7" t="s">
        <v>135</v>
      </c>
      <c r="C91" s="7" t="s">
        <v>131</v>
      </c>
      <c r="D91" s="7" t="s">
        <v>143</v>
      </c>
      <c r="E91" s="7" t="s">
        <v>170</v>
      </c>
      <c r="F91" s="7" t="s">
        <v>88</v>
      </c>
      <c r="G91" s="4" t="str">
        <f t="shared" si="6"/>
        <v>ELE-002</v>
      </c>
      <c r="H91" s="4" t="str">
        <f>VLOOKUP($G91,Catalogo_Productos!$A$4:$E$33,2,0)</f>
        <v>Tomacorriente doble</v>
      </c>
      <c r="I91" s="13">
        <v>2</v>
      </c>
      <c r="J91" s="14">
        <f>VLOOKUP($G91,Catalogo_Productos!$A$4:$E$33,4,0)</f>
        <v>4200</v>
      </c>
      <c r="K91" s="14">
        <f>VLOOKUP($G91,Catalogo_Productos!$A$4:$E$33,5,0)</f>
        <v>2520</v>
      </c>
      <c r="L91" s="14">
        <f t="shared" si="7"/>
        <v>8400</v>
      </c>
      <c r="M91" s="14">
        <f t="shared" si="8"/>
        <v>5040</v>
      </c>
    </row>
    <row r="92" spans="1:13" ht="15" customHeight="1" x14ac:dyDescent="0.2">
      <c r="A92" s="12">
        <v>75</v>
      </c>
      <c r="B92" s="7" t="s">
        <v>138</v>
      </c>
      <c r="C92" s="7" t="s">
        <v>131</v>
      </c>
      <c r="D92" s="7" t="s">
        <v>147</v>
      </c>
      <c r="E92" s="7" t="s">
        <v>148</v>
      </c>
      <c r="F92" s="7" t="s">
        <v>103</v>
      </c>
      <c r="G92" s="4" t="str">
        <f t="shared" si="6"/>
        <v>PLO-003</v>
      </c>
      <c r="H92" s="4" t="str">
        <f>VLOOKUP($G92,Catalogo_Productos!$A$4:$E$33,2,0)</f>
        <v>Codo 90 PVC 1/2</v>
      </c>
      <c r="I92" s="13">
        <v>35</v>
      </c>
      <c r="J92" s="14">
        <f>VLOOKUP($G92,Catalogo_Productos!$A$4:$E$33,4,0)</f>
        <v>450</v>
      </c>
      <c r="K92" s="14">
        <f>VLOOKUP($G92,Catalogo_Productos!$A$4:$E$33,5,0)</f>
        <v>270</v>
      </c>
      <c r="L92" s="14">
        <f t="shared" si="7"/>
        <v>15750</v>
      </c>
      <c r="M92" s="14">
        <f t="shared" si="8"/>
        <v>9450</v>
      </c>
    </row>
    <row r="93" spans="1:13" ht="15" customHeight="1" x14ac:dyDescent="0.2">
      <c r="A93" s="12">
        <v>76</v>
      </c>
      <c r="B93" s="7" t="s">
        <v>141</v>
      </c>
      <c r="C93" s="7" t="s">
        <v>142</v>
      </c>
      <c r="D93" s="7" t="s">
        <v>132</v>
      </c>
      <c r="E93" s="7" t="s">
        <v>172</v>
      </c>
      <c r="F93" s="7" t="s">
        <v>173</v>
      </c>
      <c r="G93" s="4" t="str">
        <f t="shared" si="6"/>
        <v>CON-004</v>
      </c>
      <c r="H93" s="4" t="str">
        <f>VLOOKUP($G93,Catalogo_Productos!$A$4:$E$33,2,0)</f>
        <v>Arena (m3)</v>
      </c>
      <c r="I93" s="13">
        <v>37</v>
      </c>
      <c r="J93" s="14">
        <f>VLOOKUP($G93,Catalogo_Productos!$A$4:$E$33,4,0)</f>
        <v>12000</v>
      </c>
      <c r="K93" s="14">
        <f>VLOOKUP($G93,Catalogo_Productos!$A$4:$E$33,5,0)</f>
        <v>7200</v>
      </c>
      <c r="L93" s="14">
        <f t="shared" si="7"/>
        <v>444000</v>
      </c>
      <c r="M93" s="14">
        <f t="shared" si="8"/>
        <v>266400</v>
      </c>
    </row>
    <row r="94" spans="1:13" ht="15" customHeight="1" x14ac:dyDescent="0.2">
      <c r="A94" s="12">
        <v>77</v>
      </c>
      <c r="B94" s="7" t="s">
        <v>146</v>
      </c>
      <c r="C94" s="7" t="s">
        <v>142</v>
      </c>
      <c r="D94" s="7" t="s">
        <v>136</v>
      </c>
      <c r="E94" s="7" t="s">
        <v>137</v>
      </c>
      <c r="F94" s="7" t="s">
        <v>68</v>
      </c>
      <c r="G94" s="4" t="str">
        <f t="shared" si="6"/>
        <v>PIN-005</v>
      </c>
      <c r="H94" s="4" t="str">
        <f>VLOOKUP($G94,Catalogo_Productos!$A$4:$E$33,2,0)</f>
        <v>Rodillo de esponja</v>
      </c>
      <c r="I94" s="13">
        <v>23</v>
      </c>
      <c r="J94" s="14">
        <f>VLOOKUP($G94,Catalogo_Productos!$A$4:$E$33,4,0)</f>
        <v>4500</v>
      </c>
      <c r="K94" s="14">
        <f>VLOOKUP($G94,Catalogo_Productos!$A$4:$E$33,5,0)</f>
        <v>2700</v>
      </c>
      <c r="L94" s="14">
        <f t="shared" si="7"/>
        <v>103500</v>
      </c>
      <c r="M94" s="14">
        <f t="shared" si="8"/>
        <v>62100</v>
      </c>
    </row>
    <row r="95" spans="1:13" ht="15" customHeight="1" x14ac:dyDescent="0.2">
      <c r="A95" s="12">
        <v>78</v>
      </c>
      <c r="B95" s="7" t="s">
        <v>149</v>
      </c>
      <c r="C95" s="7" t="s">
        <v>142</v>
      </c>
      <c r="D95" s="7" t="s">
        <v>139</v>
      </c>
      <c r="E95" s="7" t="s">
        <v>140</v>
      </c>
      <c r="F95" s="7" t="s">
        <v>183</v>
      </c>
      <c r="G95" s="4" t="str">
        <f t="shared" si="6"/>
        <v>HER-006</v>
      </c>
      <c r="H95" s="4" t="str">
        <f>VLOOKUP($G95,Catalogo_Productos!$A$4:$E$33,2,0)</f>
        <v>Nivel de burbuja 60cm</v>
      </c>
      <c r="I95" s="13">
        <v>13</v>
      </c>
      <c r="J95" s="14">
        <f>VLOOKUP($G95,Catalogo_Productos!$A$4:$E$33,4,0)</f>
        <v>7800</v>
      </c>
      <c r="K95" s="14">
        <f>VLOOKUP($G95,Catalogo_Productos!$A$4:$E$33,5,0)</f>
        <v>4680</v>
      </c>
      <c r="L95" s="14">
        <f t="shared" si="7"/>
        <v>101400</v>
      </c>
      <c r="M95" s="14">
        <f t="shared" si="8"/>
        <v>60840</v>
      </c>
    </row>
    <row r="96" spans="1:13" ht="15" customHeight="1" x14ac:dyDescent="0.2">
      <c r="A96" s="12">
        <v>79</v>
      </c>
      <c r="B96" s="7" t="s">
        <v>151</v>
      </c>
      <c r="C96" s="7" t="s">
        <v>152</v>
      </c>
      <c r="D96" s="7" t="s">
        <v>143</v>
      </c>
      <c r="E96" s="7" t="s">
        <v>144</v>
      </c>
      <c r="F96" s="7" t="s">
        <v>174</v>
      </c>
      <c r="G96" s="4" t="str">
        <f t="shared" si="6"/>
        <v>ELE-001</v>
      </c>
      <c r="H96" s="4" t="str">
        <f>VLOOKUP($G96,Catalogo_Productos!$A$4:$E$33,2,0)</f>
        <v>Cable THHN #12 (m)</v>
      </c>
      <c r="I96" s="13">
        <v>40</v>
      </c>
      <c r="J96" s="14">
        <f>VLOOKUP($G96,Catalogo_Productos!$A$4:$E$33,4,0)</f>
        <v>850</v>
      </c>
      <c r="K96" s="14">
        <f>VLOOKUP($G96,Catalogo_Productos!$A$4:$E$33,5,0)</f>
        <v>510</v>
      </c>
      <c r="L96" s="14">
        <f t="shared" si="7"/>
        <v>34000</v>
      </c>
      <c r="M96" s="14">
        <f t="shared" si="8"/>
        <v>20400</v>
      </c>
    </row>
    <row r="97" spans="1:13" ht="15" customHeight="1" x14ac:dyDescent="0.2">
      <c r="A97" s="12">
        <v>80</v>
      </c>
      <c r="B97" s="7" t="s">
        <v>155</v>
      </c>
      <c r="C97" s="7" t="s">
        <v>152</v>
      </c>
      <c r="D97" s="7" t="s">
        <v>147</v>
      </c>
      <c r="E97" s="7" t="s">
        <v>162</v>
      </c>
      <c r="F97" s="7" t="s">
        <v>101</v>
      </c>
      <c r="G97" s="4" t="str">
        <f t="shared" si="6"/>
        <v>PLO-002</v>
      </c>
      <c r="H97" s="4" t="str">
        <f>VLOOKUP($G97,Catalogo_Productos!$A$4:$E$33,2,0)</f>
        <v>Llave de paso 1/2</v>
      </c>
      <c r="I97" s="13">
        <v>8</v>
      </c>
      <c r="J97" s="14">
        <f>VLOOKUP($G97,Catalogo_Productos!$A$4:$E$33,4,0)</f>
        <v>5500</v>
      </c>
      <c r="K97" s="14">
        <f>VLOOKUP($G97,Catalogo_Productos!$A$4:$E$33,5,0)</f>
        <v>3300</v>
      </c>
      <c r="L97" s="14">
        <f t="shared" si="7"/>
        <v>44000</v>
      </c>
      <c r="M97" s="14">
        <f t="shared" si="8"/>
        <v>26400</v>
      </c>
    </row>
    <row r="98" spans="1:13" ht="15" customHeight="1" x14ac:dyDescent="0.2">
      <c r="A98" s="12">
        <v>81</v>
      </c>
      <c r="B98" s="7" t="s">
        <v>158</v>
      </c>
      <c r="C98" s="7" t="s">
        <v>152</v>
      </c>
      <c r="D98" s="7" t="s">
        <v>132</v>
      </c>
      <c r="E98" s="7" t="s">
        <v>133</v>
      </c>
      <c r="F98" s="7" t="s">
        <v>51</v>
      </c>
      <c r="G98" s="4" t="str">
        <f t="shared" si="6"/>
        <v>CON-003</v>
      </c>
      <c r="H98" s="4" t="str">
        <f>VLOOKUP($G98,Catalogo_Productos!$A$4:$E$33,2,0)</f>
        <v>Varilla #3 (6m)</v>
      </c>
      <c r="I98" s="13">
        <v>4</v>
      </c>
      <c r="J98" s="14">
        <f>VLOOKUP($G98,Catalogo_Productos!$A$4:$E$33,4,0)</f>
        <v>3200</v>
      </c>
      <c r="K98" s="14">
        <f>VLOOKUP($G98,Catalogo_Productos!$A$4:$E$33,5,0)</f>
        <v>1920</v>
      </c>
      <c r="L98" s="14">
        <f t="shared" si="7"/>
        <v>12800</v>
      </c>
      <c r="M98" s="14">
        <f t="shared" si="8"/>
        <v>7680</v>
      </c>
    </row>
    <row r="99" spans="1:13" ht="15" customHeight="1" x14ac:dyDescent="0.2">
      <c r="A99" s="12">
        <v>82</v>
      </c>
      <c r="B99" s="7" t="s">
        <v>160</v>
      </c>
      <c r="C99" s="7" t="s">
        <v>161</v>
      </c>
      <c r="D99" s="7" t="s">
        <v>136</v>
      </c>
      <c r="E99" s="7" t="s">
        <v>153</v>
      </c>
      <c r="F99" s="7" t="s">
        <v>175</v>
      </c>
      <c r="G99" s="4" t="str">
        <f t="shared" si="6"/>
        <v>PIN-004</v>
      </c>
      <c r="H99" s="4" t="str">
        <f>VLOOKUP($G99,Catalogo_Productos!$A$4:$E$33,2,0)</f>
        <v>Pintura epoxica 1L</v>
      </c>
      <c r="I99" s="13">
        <v>15</v>
      </c>
      <c r="J99" s="14">
        <f>VLOOKUP($G99,Catalogo_Productos!$A$4:$E$33,4,0)</f>
        <v>28000</v>
      </c>
      <c r="K99" s="14">
        <f>VLOOKUP($G99,Catalogo_Productos!$A$4:$E$33,5,0)</f>
        <v>16800</v>
      </c>
      <c r="L99" s="14">
        <f t="shared" si="7"/>
        <v>420000</v>
      </c>
      <c r="M99" s="14">
        <f t="shared" si="8"/>
        <v>252000</v>
      </c>
    </row>
    <row r="100" spans="1:13" ht="15" customHeight="1" x14ac:dyDescent="0.2">
      <c r="A100" s="12">
        <v>83</v>
      </c>
      <c r="B100" s="7" t="s">
        <v>164</v>
      </c>
      <c r="C100" s="7" t="s">
        <v>161</v>
      </c>
      <c r="D100" s="7" t="s">
        <v>139</v>
      </c>
      <c r="E100" s="7" t="s">
        <v>156</v>
      </c>
      <c r="F100" s="7" t="s">
        <v>81</v>
      </c>
      <c r="G100" s="4" t="str">
        <f t="shared" si="6"/>
        <v>HER-005</v>
      </c>
      <c r="H100" s="4" t="str">
        <f>VLOOKUP($G100,Catalogo_Productos!$A$4:$E$33,2,0)</f>
        <v>Taladro percutor</v>
      </c>
      <c r="I100" s="13">
        <v>27</v>
      </c>
      <c r="J100" s="14">
        <f>VLOOKUP($G100,Catalogo_Productos!$A$4:$E$33,4,0)</f>
        <v>65000</v>
      </c>
      <c r="K100" s="14">
        <f>VLOOKUP($G100,Catalogo_Productos!$A$4:$E$33,5,0)</f>
        <v>39000</v>
      </c>
      <c r="L100" s="14">
        <f t="shared" si="7"/>
        <v>1755000</v>
      </c>
      <c r="M100" s="14">
        <f t="shared" si="8"/>
        <v>1053000</v>
      </c>
    </row>
    <row r="101" spans="1:13" ht="15" customHeight="1" x14ac:dyDescent="0.2">
      <c r="A101" s="12">
        <v>84</v>
      </c>
      <c r="B101" s="7" t="s">
        <v>166</v>
      </c>
      <c r="C101" s="7" t="s">
        <v>161</v>
      </c>
      <c r="D101" s="7" t="s">
        <v>143</v>
      </c>
      <c r="E101" s="7" t="s">
        <v>159</v>
      </c>
      <c r="F101" s="7" t="s">
        <v>96</v>
      </c>
      <c r="G101" s="4" t="str">
        <f t="shared" si="6"/>
        <v>ELE-006</v>
      </c>
      <c r="H101" s="4" t="str">
        <f>VLOOKUP($G101,Catalogo_Productos!$A$4:$E$33,2,0)</f>
        <v>Interruptor sencillo</v>
      </c>
      <c r="I101" s="13">
        <v>7</v>
      </c>
      <c r="J101" s="14">
        <f>VLOOKUP($G101,Catalogo_Productos!$A$4:$E$33,4,0)</f>
        <v>2800</v>
      </c>
      <c r="K101" s="14">
        <f>VLOOKUP($G101,Catalogo_Productos!$A$4:$E$33,5,0)</f>
        <v>1680</v>
      </c>
      <c r="L101" s="14">
        <f t="shared" si="7"/>
        <v>19600</v>
      </c>
      <c r="M101" s="14">
        <f t="shared" si="8"/>
        <v>11760</v>
      </c>
    </row>
    <row r="102" spans="1:13" ht="15" customHeight="1" x14ac:dyDescent="0.2">
      <c r="A102" s="12">
        <v>85</v>
      </c>
      <c r="B102" s="7" t="s">
        <v>130</v>
      </c>
      <c r="C102" s="7" t="s">
        <v>131</v>
      </c>
      <c r="D102" s="7" t="s">
        <v>147</v>
      </c>
      <c r="E102" s="7" t="s">
        <v>148</v>
      </c>
      <c r="F102" s="7" t="s">
        <v>176</v>
      </c>
      <c r="G102" s="4" t="str">
        <f t="shared" si="6"/>
        <v>PLO-001</v>
      </c>
      <c r="H102" s="4" t="str">
        <f>VLOOKUP($G102,Catalogo_Productos!$A$4:$E$33,2,0)</f>
        <v>Tubo PVC 1/2 (6m)</v>
      </c>
      <c r="I102" s="13">
        <v>25</v>
      </c>
      <c r="J102" s="14">
        <f>VLOOKUP($G102,Catalogo_Productos!$A$4:$E$33,4,0)</f>
        <v>3600</v>
      </c>
      <c r="K102" s="14">
        <f>VLOOKUP($G102,Catalogo_Productos!$A$4:$E$33,5,0)</f>
        <v>2160</v>
      </c>
      <c r="L102" s="14">
        <f t="shared" si="7"/>
        <v>90000</v>
      </c>
      <c r="M102" s="14">
        <f t="shared" si="8"/>
        <v>54000</v>
      </c>
    </row>
    <row r="103" spans="1:13" ht="15" customHeight="1" x14ac:dyDescent="0.2">
      <c r="A103" s="12">
        <v>86</v>
      </c>
      <c r="B103" s="7" t="s">
        <v>135</v>
      </c>
      <c r="C103" s="7" t="s">
        <v>131</v>
      </c>
      <c r="D103" s="7" t="s">
        <v>132</v>
      </c>
      <c r="E103" s="7" t="s">
        <v>150</v>
      </c>
      <c r="F103" s="7" t="s">
        <v>49</v>
      </c>
      <c r="G103" s="4" t="str">
        <f t="shared" si="6"/>
        <v>CON-002</v>
      </c>
      <c r="H103" s="4" t="str">
        <f>VLOOKUP($G103,Catalogo_Productos!$A$4:$E$33,2,0)</f>
        <v>Cemento 50kg</v>
      </c>
      <c r="I103" s="13">
        <v>30</v>
      </c>
      <c r="J103" s="14">
        <f>VLOOKUP($G103,Catalogo_Productos!$A$4:$E$33,4,0)</f>
        <v>8500</v>
      </c>
      <c r="K103" s="14">
        <f>VLOOKUP($G103,Catalogo_Productos!$A$4:$E$33,5,0)</f>
        <v>5100</v>
      </c>
      <c r="L103" s="14">
        <f t="shared" si="7"/>
        <v>255000</v>
      </c>
      <c r="M103" s="14">
        <f t="shared" si="8"/>
        <v>153000</v>
      </c>
    </row>
    <row r="104" spans="1:13" ht="15" customHeight="1" x14ac:dyDescent="0.2">
      <c r="A104" s="12">
        <v>87</v>
      </c>
      <c r="B104" s="7" t="s">
        <v>138</v>
      </c>
      <c r="C104" s="7" t="s">
        <v>131</v>
      </c>
      <c r="D104" s="7" t="s">
        <v>136</v>
      </c>
      <c r="E104" s="7" t="s">
        <v>167</v>
      </c>
      <c r="F104" s="7" t="s">
        <v>64</v>
      </c>
      <c r="G104" s="4" t="str">
        <f t="shared" si="6"/>
        <v>PIN-003</v>
      </c>
      <c r="H104" s="4" t="str">
        <f>VLOOKUP($G104,Catalogo_Productos!$A$4:$E$33,2,0)</f>
        <v>Thinner industrial</v>
      </c>
      <c r="I104" s="13">
        <v>43</v>
      </c>
      <c r="J104" s="14">
        <f>VLOOKUP($G104,Catalogo_Productos!$A$4:$E$33,4,0)</f>
        <v>9800</v>
      </c>
      <c r="K104" s="14">
        <f>VLOOKUP($G104,Catalogo_Productos!$A$4:$E$33,5,0)</f>
        <v>5880</v>
      </c>
      <c r="L104" s="14">
        <f t="shared" si="7"/>
        <v>421400</v>
      </c>
      <c r="M104" s="14">
        <f t="shared" si="8"/>
        <v>252840</v>
      </c>
    </row>
    <row r="105" spans="1:13" ht="15" customHeight="1" x14ac:dyDescent="0.2">
      <c r="A105" s="12">
        <v>88</v>
      </c>
      <c r="B105" s="7" t="s">
        <v>141</v>
      </c>
      <c r="C105" s="7" t="s">
        <v>142</v>
      </c>
      <c r="D105" s="7" t="s">
        <v>139</v>
      </c>
      <c r="E105" s="7" t="s">
        <v>168</v>
      </c>
      <c r="F105" s="7" t="s">
        <v>177</v>
      </c>
      <c r="G105" s="4" t="str">
        <f t="shared" si="6"/>
        <v>HER-004</v>
      </c>
      <c r="H105" s="4" t="str">
        <f>VLOOKUP($G105,Catalogo_Productos!$A$4:$E$33,2,0)</f>
        <v>Cinta metrica 5m</v>
      </c>
      <c r="I105" s="13">
        <v>41</v>
      </c>
      <c r="J105" s="14">
        <f>VLOOKUP($G105,Catalogo_Productos!$A$4:$E$33,4,0)</f>
        <v>3500</v>
      </c>
      <c r="K105" s="14">
        <f>VLOOKUP($G105,Catalogo_Productos!$A$4:$E$33,5,0)</f>
        <v>2100</v>
      </c>
      <c r="L105" s="14">
        <f t="shared" si="7"/>
        <v>143500</v>
      </c>
      <c r="M105" s="14">
        <f t="shared" si="8"/>
        <v>86100</v>
      </c>
    </row>
    <row r="106" spans="1:13" ht="15" customHeight="1" x14ac:dyDescent="0.2">
      <c r="A106" s="12">
        <v>89</v>
      </c>
      <c r="B106" s="7" t="s">
        <v>146</v>
      </c>
      <c r="C106" s="7" t="s">
        <v>142</v>
      </c>
      <c r="D106" s="7" t="s">
        <v>143</v>
      </c>
      <c r="E106" s="7" t="s">
        <v>170</v>
      </c>
      <c r="F106" s="7" t="s">
        <v>94</v>
      </c>
      <c r="G106" s="4" t="str">
        <f t="shared" si="6"/>
        <v>ELE-005</v>
      </c>
      <c r="H106" s="4" t="str">
        <f>VLOOKUP($G106,Catalogo_Productos!$A$4:$E$33,2,0)</f>
        <v>Cinta aislante</v>
      </c>
      <c r="I106" s="13">
        <v>37</v>
      </c>
      <c r="J106" s="14">
        <f>VLOOKUP($G106,Catalogo_Productos!$A$4:$E$33,4,0)</f>
        <v>950</v>
      </c>
      <c r="K106" s="14">
        <f>VLOOKUP($G106,Catalogo_Productos!$A$4:$E$33,5,0)</f>
        <v>570</v>
      </c>
      <c r="L106" s="14">
        <f t="shared" si="7"/>
        <v>35150</v>
      </c>
      <c r="M106" s="14">
        <f t="shared" si="8"/>
        <v>21090</v>
      </c>
    </row>
    <row r="107" spans="1:13" ht="15" customHeight="1" x14ac:dyDescent="0.2">
      <c r="A107" s="12">
        <v>90</v>
      </c>
      <c r="B107" s="7" t="s">
        <v>149</v>
      </c>
      <c r="C107" s="7" t="s">
        <v>142</v>
      </c>
      <c r="D107" s="7" t="s">
        <v>147</v>
      </c>
      <c r="E107" s="7" t="s">
        <v>162</v>
      </c>
      <c r="F107" s="7" t="s">
        <v>109</v>
      </c>
      <c r="G107" s="4" t="str">
        <f t="shared" si="6"/>
        <v>PLO-006</v>
      </c>
      <c r="H107" s="4" t="str">
        <f>VLOOKUP($G107,Catalogo_Productos!$A$4:$E$33,2,0)</f>
        <v>Tee PVC 1/2</v>
      </c>
      <c r="I107" s="13">
        <v>18</v>
      </c>
      <c r="J107" s="14">
        <f>VLOOKUP($G107,Catalogo_Productos!$A$4:$E$33,4,0)</f>
        <v>380</v>
      </c>
      <c r="K107" s="14">
        <f>VLOOKUP($G107,Catalogo_Productos!$A$4:$E$33,5,0)</f>
        <v>228</v>
      </c>
      <c r="L107" s="14">
        <f t="shared" si="7"/>
        <v>6840</v>
      </c>
      <c r="M107" s="14">
        <f t="shared" si="8"/>
        <v>4104</v>
      </c>
    </row>
  </sheetData>
  <mergeCells count="10">
    <mergeCell ref="A15:M15"/>
    <mergeCell ref="A2:M2"/>
    <mergeCell ref="A11:M11"/>
    <mergeCell ref="A1:M1"/>
    <mergeCell ref="A5:M5"/>
    <mergeCell ref="A8:M8"/>
    <mergeCell ref="A6:M6"/>
    <mergeCell ref="A12:M12"/>
    <mergeCell ref="A9:M9"/>
    <mergeCell ref="A4:M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131"/>
  <sheetViews>
    <sheetView topLeftCell="A105" workbookViewId="0">
      <selection activeCell="C116" sqref="C116"/>
    </sheetView>
  </sheetViews>
  <sheetFormatPr baseColWidth="10" defaultColWidth="8.83203125" defaultRowHeight="15" x14ac:dyDescent="0.2"/>
  <cols>
    <col min="1" max="1" width="6" customWidth="1"/>
    <col min="2" max="2" width="12" customWidth="1"/>
    <col min="3" max="3" width="15" customWidth="1"/>
    <col min="4" max="4" width="16" customWidth="1"/>
    <col min="5" max="5" width="22" customWidth="1"/>
    <col min="6" max="6" width="16" customWidth="1"/>
    <col min="7" max="7" width="18" customWidth="1"/>
    <col min="8" max="8" width="6" customWidth="1"/>
  </cols>
  <sheetData>
    <row r="1" spans="1:8" ht="32" customHeight="1" x14ac:dyDescent="0.2">
      <c r="A1" s="54" t="s">
        <v>184</v>
      </c>
      <c r="B1" s="30"/>
      <c r="C1" s="30"/>
      <c r="D1" s="30"/>
      <c r="E1" s="30"/>
      <c r="F1" s="30"/>
      <c r="G1" s="30"/>
      <c r="H1" s="31"/>
    </row>
    <row r="2" spans="1:8" ht="56" customHeight="1" x14ac:dyDescent="0.2">
      <c r="A2" s="42" t="s">
        <v>185</v>
      </c>
      <c r="B2" s="30"/>
      <c r="C2" s="30"/>
      <c r="D2" s="30"/>
      <c r="E2" s="30"/>
      <c r="F2" s="30"/>
      <c r="G2" s="30"/>
      <c r="H2" s="31"/>
    </row>
    <row r="3" spans="1:8" ht="6" customHeight="1" x14ac:dyDescent="0.2"/>
    <row r="4" spans="1:8" ht="22" customHeight="1" x14ac:dyDescent="0.2">
      <c r="A4" s="45" t="s">
        <v>186</v>
      </c>
      <c r="B4" s="30"/>
      <c r="C4" s="30"/>
      <c r="D4" s="30"/>
      <c r="E4" s="30"/>
      <c r="F4" s="30"/>
      <c r="G4" s="30"/>
      <c r="H4" s="31"/>
    </row>
    <row r="5" spans="1:8" ht="28" customHeight="1" x14ac:dyDescent="0.2">
      <c r="A5" s="60" t="s">
        <v>187</v>
      </c>
      <c r="B5" s="39"/>
      <c r="C5" s="39"/>
      <c r="D5" s="39"/>
      <c r="E5" s="39"/>
      <c r="F5" s="39"/>
      <c r="G5" s="39"/>
      <c r="H5" s="40"/>
    </row>
    <row r="6" spans="1:8" ht="94" customHeight="1" x14ac:dyDescent="0.2">
      <c r="A6" s="38" t="s">
        <v>334</v>
      </c>
      <c r="B6" s="39"/>
      <c r="C6" s="39"/>
      <c r="D6" s="39"/>
      <c r="E6" s="39"/>
      <c r="F6" s="39"/>
      <c r="G6" s="39"/>
      <c r="H6" s="40"/>
    </row>
    <row r="7" spans="1:8" ht="6" customHeight="1" x14ac:dyDescent="0.2"/>
    <row r="8" spans="1:8" ht="28" customHeight="1" x14ac:dyDescent="0.2">
      <c r="A8" s="60" t="s">
        <v>188</v>
      </c>
      <c r="B8" s="39"/>
      <c r="C8" s="39"/>
      <c r="D8" s="39"/>
      <c r="E8" s="39"/>
      <c r="F8" s="39"/>
      <c r="G8" s="39"/>
      <c r="H8" s="40"/>
    </row>
    <row r="9" spans="1:8" ht="119" customHeight="1" x14ac:dyDescent="0.2">
      <c r="A9" s="38" t="s">
        <v>335</v>
      </c>
      <c r="B9" s="39"/>
      <c r="C9" s="39"/>
      <c r="D9" s="39"/>
      <c r="E9" s="39"/>
      <c r="F9" s="39"/>
      <c r="G9" s="39"/>
      <c r="H9" s="40"/>
    </row>
    <row r="10" spans="1:8" ht="6" customHeight="1" x14ac:dyDescent="0.2"/>
    <row r="11" spans="1:8" ht="28" customHeight="1" x14ac:dyDescent="0.2">
      <c r="A11" s="60" t="s">
        <v>189</v>
      </c>
      <c r="B11" s="39"/>
      <c r="C11" s="39"/>
      <c r="D11" s="39"/>
      <c r="E11" s="39"/>
      <c r="F11" s="39"/>
      <c r="G11" s="39"/>
      <c r="H11" s="40"/>
    </row>
    <row r="12" spans="1:8" ht="120" customHeight="1" x14ac:dyDescent="0.2">
      <c r="A12" s="38" t="s">
        <v>190</v>
      </c>
      <c r="B12" s="39"/>
      <c r="C12" s="39"/>
      <c r="D12" s="39"/>
      <c r="E12" s="39"/>
      <c r="F12" s="39"/>
      <c r="G12" s="39"/>
      <c r="H12" s="40"/>
    </row>
    <row r="13" spans="1:8" ht="6" customHeight="1" x14ac:dyDescent="0.2"/>
    <row r="14" spans="1:8" ht="6" customHeight="1" x14ac:dyDescent="0.2"/>
    <row r="15" spans="1:8" ht="177" customHeight="1" x14ac:dyDescent="0.2">
      <c r="A15" s="57" t="s">
        <v>191</v>
      </c>
      <c r="B15" s="58"/>
      <c r="C15" s="58"/>
      <c r="D15" s="58"/>
      <c r="E15" s="58"/>
      <c r="F15" s="58"/>
      <c r="G15" s="58"/>
      <c r="H15" s="59"/>
    </row>
    <row r="16" spans="1:8" ht="6" customHeight="1" x14ac:dyDescent="0.2"/>
    <row r="17" spans="1:8" ht="22" customHeight="1" x14ac:dyDescent="0.2">
      <c r="A17" s="52" t="s">
        <v>192</v>
      </c>
      <c r="B17" s="30"/>
      <c r="C17" s="30"/>
      <c r="D17" s="30"/>
      <c r="E17" s="30"/>
      <c r="F17" s="30"/>
      <c r="G17" s="30"/>
      <c r="H17" s="31"/>
    </row>
    <row r="18" spans="1:8" ht="22" customHeight="1" x14ac:dyDescent="0.2">
      <c r="A18" s="5" t="s">
        <v>119</v>
      </c>
      <c r="B18" s="6" t="s">
        <v>120</v>
      </c>
      <c r="C18" s="6" t="s">
        <v>121</v>
      </c>
      <c r="D18" s="6" t="s">
        <v>122</v>
      </c>
      <c r="E18" s="6" t="s">
        <v>123</v>
      </c>
      <c r="F18" s="6" t="s">
        <v>128</v>
      </c>
      <c r="G18" s="6" t="s">
        <v>193</v>
      </c>
    </row>
    <row r="19" spans="1:8" ht="15" customHeight="1" x14ac:dyDescent="0.2">
      <c r="A19" s="12">
        <f>Reto1_Datos!A18</f>
        <v>1</v>
      </c>
      <c r="B19" s="7" t="str">
        <f>Reto1_Datos!B18</f>
        <v>Enero</v>
      </c>
      <c r="C19" s="7" t="str">
        <f>Reto1_Datos!C18</f>
        <v>T1</v>
      </c>
      <c r="D19" s="7" t="str">
        <f>Reto1_Datos!D18</f>
        <v>Central</v>
      </c>
      <c r="E19" s="7" t="str">
        <f>Reto1_Datos!E18</f>
        <v>Juan Mora</v>
      </c>
      <c r="F19" s="11">
        <f>Reto1_Datos!L18</f>
        <v>38250</v>
      </c>
      <c r="G19" s="4" t="str">
        <f t="shared" ref="G19:G50" si="0">IF(F19&gt;=500000,"Premium",IF(F19&gt;=200000,"Regular","Basico"))</f>
        <v>Basico</v>
      </c>
    </row>
    <row r="20" spans="1:8" ht="15" customHeight="1" x14ac:dyDescent="0.2">
      <c r="A20" s="12">
        <f>Reto1_Datos!A19</f>
        <v>2</v>
      </c>
      <c r="B20" s="7" t="str">
        <f>Reto1_Datos!B19</f>
        <v>Febrero</v>
      </c>
      <c r="C20" s="7" t="str">
        <f>Reto1_Datos!C19</f>
        <v>T1</v>
      </c>
      <c r="D20" s="7" t="str">
        <f>Reto1_Datos!D19</f>
        <v>Cartago</v>
      </c>
      <c r="E20" s="7" t="str">
        <f>Reto1_Datos!E19</f>
        <v>Luis Brenes</v>
      </c>
      <c r="F20" s="11">
        <f>Reto1_Datos!L19</f>
        <v>132000</v>
      </c>
      <c r="G20" s="4" t="str">
        <f t="shared" si="0"/>
        <v>Basico</v>
      </c>
    </row>
    <row r="21" spans="1:8" ht="15" customHeight="1" x14ac:dyDescent="0.2">
      <c r="A21" s="12">
        <f>Reto1_Datos!A20</f>
        <v>3</v>
      </c>
      <c r="B21" s="7" t="str">
        <f>Reto1_Datos!B20</f>
        <v>Marzo</v>
      </c>
      <c r="C21" s="7" t="str">
        <f>Reto1_Datos!C20</f>
        <v>T1</v>
      </c>
      <c r="D21" s="7" t="str">
        <f>Reto1_Datos!D20</f>
        <v>Heredia</v>
      </c>
      <c r="E21" s="7" t="str">
        <f>Reto1_Datos!E20</f>
        <v>Fabiola Rios</v>
      </c>
      <c r="F21" s="11">
        <f>Reto1_Datos!L20</f>
        <v>1890000</v>
      </c>
      <c r="G21" s="4" t="str">
        <f t="shared" si="0"/>
        <v>Premium</v>
      </c>
    </row>
    <row r="22" spans="1:8" ht="15" customHeight="1" x14ac:dyDescent="0.2">
      <c r="A22" s="12">
        <f>Reto1_Datos!A21</f>
        <v>4</v>
      </c>
      <c r="B22" s="7" t="str">
        <f>Reto1_Datos!B21</f>
        <v>Abril</v>
      </c>
      <c r="C22" s="7" t="str">
        <f>Reto1_Datos!C21</f>
        <v>T2</v>
      </c>
      <c r="D22" s="7" t="str">
        <f>Reto1_Datos!D21</f>
        <v>Alajuela</v>
      </c>
      <c r="E22" s="7" t="str">
        <f>Reto1_Datos!E21</f>
        <v>Rosa Mendez</v>
      </c>
      <c r="F22" s="11">
        <f>Reto1_Datos!L21</f>
        <v>304000</v>
      </c>
      <c r="G22" s="4" t="str">
        <f t="shared" si="0"/>
        <v>Regular</v>
      </c>
    </row>
    <row r="23" spans="1:8" ht="15" customHeight="1" x14ac:dyDescent="0.2">
      <c r="A23" s="12">
        <f>Reto1_Datos!A22</f>
        <v>5</v>
      </c>
      <c r="B23" s="7" t="str">
        <f>Reto1_Datos!B22</f>
        <v>Mayo</v>
      </c>
      <c r="C23" s="7" t="str">
        <f>Reto1_Datos!C22</f>
        <v>T2</v>
      </c>
      <c r="D23" s="7" t="str">
        <f>Reto1_Datos!D22</f>
        <v>Liberia</v>
      </c>
      <c r="E23" s="7" t="str">
        <f>Reto1_Datos!E22</f>
        <v>Andres Mora</v>
      </c>
      <c r="F23" s="11">
        <f>Reto1_Datos!L22</f>
        <v>323000</v>
      </c>
      <c r="G23" s="4" t="str">
        <f t="shared" si="0"/>
        <v>Regular</v>
      </c>
    </row>
    <row r="24" spans="1:8" ht="15" customHeight="1" x14ac:dyDescent="0.2">
      <c r="A24" s="12">
        <f>Reto1_Datos!A23</f>
        <v>6</v>
      </c>
      <c r="B24" s="7" t="str">
        <f>Reto1_Datos!B23</f>
        <v>Junio</v>
      </c>
      <c r="C24" s="7" t="str">
        <f>Reto1_Datos!C23</f>
        <v>T2</v>
      </c>
      <c r="D24" s="7" t="str">
        <f>Reto1_Datos!D23</f>
        <v>Central</v>
      </c>
      <c r="E24" s="7" t="str">
        <f>Reto1_Datos!E23</f>
        <v>Ana Vargas</v>
      </c>
      <c r="F24" s="11">
        <f>Reto1_Datos!L23</f>
        <v>13500</v>
      </c>
      <c r="G24" s="4" t="str">
        <f t="shared" si="0"/>
        <v>Basico</v>
      </c>
    </row>
    <row r="25" spans="1:8" ht="15" customHeight="1" x14ac:dyDescent="0.2">
      <c r="A25" s="12">
        <f>Reto1_Datos!A24</f>
        <v>7</v>
      </c>
      <c r="B25" s="7" t="str">
        <f>Reto1_Datos!B24</f>
        <v>Julio</v>
      </c>
      <c r="C25" s="7" t="str">
        <f>Reto1_Datos!C24</f>
        <v>T3</v>
      </c>
      <c r="D25" s="7" t="str">
        <f>Reto1_Datos!D24</f>
        <v>Cartago</v>
      </c>
      <c r="E25" s="7" t="str">
        <f>Reto1_Datos!E24</f>
        <v>Maria Jimenez</v>
      </c>
      <c r="F25" s="11">
        <f>Reto1_Datos!L24</f>
        <v>93000</v>
      </c>
      <c r="G25" s="4" t="str">
        <f t="shared" si="0"/>
        <v>Basico</v>
      </c>
    </row>
    <row r="26" spans="1:8" ht="15" customHeight="1" x14ac:dyDescent="0.2">
      <c r="A26" s="12">
        <f>Reto1_Datos!A25</f>
        <v>8</v>
      </c>
      <c r="B26" s="7" t="str">
        <f>Reto1_Datos!B25</f>
        <v>Agosto</v>
      </c>
      <c r="C26" s="7" t="str">
        <f>Reto1_Datos!C25</f>
        <v>T3</v>
      </c>
      <c r="D26" s="7" t="str">
        <f>Reto1_Datos!D25</f>
        <v>Heredia</v>
      </c>
      <c r="E26" s="7" t="str">
        <f>Reto1_Datos!E25</f>
        <v>Pedro Quesada</v>
      </c>
      <c r="F26" s="11">
        <f>Reto1_Datos!L25</f>
        <v>264000</v>
      </c>
      <c r="G26" s="4" t="str">
        <f t="shared" si="0"/>
        <v>Regular</v>
      </c>
    </row>
    <row r="27" spans="1:8" ht="15" customHeight="1" x14ac:dyDescent="0.2">
      <c r="A27" s="12">
        <f>Reto1_Datos!A26</f>
        <v>9</v>
      </c>
      <c r="B27" s="7" t="str">
        <f>Reto1_Datos!B26</f>
        <v>Septiembre</v>
      </c>
      <c r="C27" s="7" t="str">
        <f>Reto1_Datos!C26</f>
        <v>T3</v>
      </c>
      <c r="D27" s="7" t="str">
        <f>Reto1_Datos!D26</f>
        <v>Alajuela</v>
      </c>
      <c r="E27" s="7" t="str">
        <f>Reto1_Datos!E26</f>
        <v>Patricia Salas</v>
      </c>
      <c r="F27" s="11">
        <f>Reto1_Datos!L26</f>
        <v>304200</v>
      </c>
      <c r="G27" s="4" t="str">
        <f t="shared" si="0"/>
        <v>Regular</v>
      </c>
    </row>
    <row r="28" spans="1:8" ht="15" customHeight="1" x14ac:dyDescent="0.2">
      <c r="A28" s="12">
        <f>Reto1_Datos!A27</f>
        <v>10</v>
      </c>
      <c r="B28" s="7" t="str">
        <f>Reto1_Datos!B27</f>
        <v>Octubre</v>
      </c>
      <c r="C28" s="7" t="str">
        <f>Reto1_Datos!C27</f>
        <v>T4</v>
      </c>
      <c r="D28" s="7" t="str">
        <f>Reto1_Datos!D27</f>
        <v>Liberia</v>
      </c>
      <c r="E28" s="7" t="str">
        <f>Reto1_Datos!E27</f>
        <v>Karina Solis</v>
      </c>
      <c r="F28" s="11">
        <f>Reto1_Datos!L27</f>
        <v>48000</v>
      </c>
      <c r="G28" s="4" t="str">
        <f t="shared" si="0"/>
        <v>Basico</v>
      </c>
    </row>
    <row r="29" spans="1:8" ht="15" customHeight="1" x14ac:dyDescent="0.2">
      <c r="A29" s="12">
        <f>Reto1_Datos!A28</f>
        <v>11</v>
      </c>
      <c r="B29" s="7" t="str">
        <f>Reto1_Datos!B28</f>
        <v>Noviembre</v>
      </c>
      <c r="C29" s="7" t="str">
        <f>Reto1_Datos!C28</f>
        <v>T4</v>
      </c>
      <c r="D29" s="7" t="str">
        <f>Reto1_Datos!D28</f>
        <v>Central</v>
      </c>
      <c r="E29" s="7" t="str">
        <f>Reto1_Datos!E28</f>
        <v>Carlos Solano</v>
      </c>
      <c r="F29" s="11">
        <f>Reto1_Datos!L28</f>
        <v>630000</v>
      </c>
      <c r="G29" s="4" t="str">
        <f t="shared" si="0"/>
        <v>Premium</v>
      </c>
    </row>
    <row r="30" spans="1:8" ht="15" customHeight="1" x14ac:dyDescent="0.2">
      <c r="A30" s="12">
        <f>Reto1_Datos!A29</f>
        <v>12</v>
      </c>
      <c r="B30" s="7" t="str">
        <f>Reto1_Datos!B29</f>
        <v>Diciembre</v>
      </c>
      <c r="C30" s="7" t="str">
        <f>Reto1_Datos!C29</f>
        <v>T4</v>
      </c>
      <c r="D30" s="7" t="str">
        <f>Reto1_Datos!D29</f>
        <v>Cartago</v>
      </c>
      <c r="E30" s="7" t="str">
        <f>Reto1_Datos!E29</f>
        <v>Sandra Vega</v>
      </c>
      <c r="F30" s="11">
        <f>Reto1_Datos!L29</f>
        <v>73600</v>
      </c>
      <c r="G30" s="4" t="str">
        <f t="shared" si="0"/>
        <v>Basico</v>
      </c>
    </row>
    <row r="31" spans="1:8" ht="15" customHeight="1" x14ac:dyDescent="0.2">
      <c r="A31" s="12">
        <f>Reto1_Datos!A30</f>
        <v>13</v>
      </c>
      <c r="B31" s="7" t="str">
        <f>Reto1_Datos!B30</f>
        <v>Enero</v>
      </c>
      <c r="C31" s="7" t="str">
        <f>Reto1_Datos!C30</f>
        <v>T1</v>
      </c>
      <c r="D31" s="7" t="str">
        <f>Reto1_Datos!D30</f>
        <v>Heredia</v>
      </c>
      <c r="E31" s="7" t="str">
        <f>Reto1_Datos!E30</f>
        <v>Diana Castro</v>
      </c>
      <c r="F31" s="11">
        <f>Reto1_Datos!L30</f>
        <v>59500</v>
      </c>
      <c r="G31" s="4" t="str">
        <f t="shared" si="0"/>
        <v>Basico</v>
      </c>
    </row>
    <row r="32" spans="1:8" ht="15" customHeight="1" x14ac:dyDescent="0.2">
      <c r="A32" s="12">
        <f>Reto1_Datos!A31</f>
        <v>14</v>
      </c>
      <c r="B32" s="7" t="str">
        <f>Reto1_Datos!B31</f>
        <v>Febrero</v>
      </c>
      <c r="C32" s="7" t="str">
        <f>Reto1_Datos!C31</f>
        <v>T1</v>
      </c>
      <c r="D32" s="7" t="str">
        <f>Reto1_Datos!D31</f>
        <v>Alajuela</v>
      </c>
      <c r="E32" s="7" t="str">
        <f>Reto1_Datos!E31</f>
        <v>Fabio Ulate</v>
      </c>
      <c r="F32" s="11">
        <f>Reto1_Datos!L31</f>
        <v>138600</v>
      </c>
      <c r="G32" s="4" t="str">
        <f t="shared" si="0"/>
        <v>Basico</v>
      </c>
    </row>
    <row r="33" spans="1:7" ht="15" customHeight="1" x14ac:dyDescent="0.2">
      <c r="A33" s="12">
        <f>Reto1_Datos!A32</f>
        <v>15</v>
      </c>
      <c r="B33" s="7" t="str">
        <f>Reto1_Datos!B32</f>
        <v>Marzo</v>
      </c>
      <c r="C33" s="7" t="str">
        <f>Reto1_Datos!C32</f>
        <v>T1</v>
      </c>
      <c r="D33" s="7" t="str">
        <f>Reto1_Datos!D32</f>
        <v>Liberia</v>
      </c>
      <c r="E33" s="7" t="str">
        <f>Reto1_Datos!E32</f>
        <v>Andres Mora</v>
      </c>
      <c r="F33" s="11">
        <f>Reto1_Datos!L32</f>
        <v>6750</v>
      </c>
      <c r="G33" s="4" t="str">
        <f t="shared" si="0"/>
        <v>Basico</v>
      </c>
    </row>
    <row r="34" spans="1:7" ht="15" customHeight="1" x14ac:dyDescent="0.2">
      <c r="A34" s="12">
        <f>Reto1_Datos!A33</f>
        <v>16</v>
      </c>
      <c r="B34" s="7" t="str">
        <f>Reto1_Datos!B33</f>
        <v>Abril</v>
      </c>
      <c r="C34" s="7" t="str">
        <f>Reto1_Datos!C33</f>
        <v>T2</v>
      </c>
      <c r="D34" s="7" t="str">
        <f>Reto1_Datos!D33</f>
        <v>Central</v>
      </c>
      <c r="E34" s="7" t="str">
        <f>Reto1_Datos!E33</f>
        <v>Rita Ulate</v>
      </c>
      <c r="F34" s="11">
        <f>Reto1_Datos!L33</f>
        <v>48000</v>
      </c>
      <c r="G34" s="4" t="str">
        <f t="shared" si="0"/>
        <v>Basico</v>
      </c>
    </row>
    <row r="35" spans="1:7" ht="15" customHeight="1" x14ac:dyDescent="0.2">
      <c r="A35" s="12">
        <f>Reto1_Datos!A34</f>
        <v>17</v>
      </c>
      <c r="B35" s="7" t="str">
        <f>Reto1_Datos!B34</f>
        <v>Mayo</v>
      </c>
      <c r="C35" s="7" t="str">
        <f>Reto1_Datos!C34</f>
        <v>T2</v>
      </c>
      <c r="D35" s="7" t="str">
        <f>Reto1_Datos!D34</f>
        <v>Cartago</v>
      </c>
      <c r="E35" s="7" t="str">
        <f>Reto1_Datos!E34</f>
        <v>Luis Brenes</v>
      </c>
      <c r="F35" s="11">
        <f>Reto1_Datos!L34</f>
        <v>31500</v>
      </c>
      <c r="G35" s="4" t="str">
        <f t="shared" si="0"/>
        <v>Basico</v>
      </c>
    </row>
    <row r="36" spans="1:7" ht="15" customHeight="1" x14ac:dyDescent="0.2">
      <c r="A36" s="12">
        <f>Reto1_Datos!A35</f>
        <v>18</v>
      </c>
      <c r="B36" s="7" t="str">
        <f>Reto1_Datos!B35</f>
        <v>Junio</v>
      </c>
      <c r="C36" s="7" t="str">
        <f>Reto1_Datos!C35</f>
        <v>T2</v>
      </c>
      <c r="D36" s="7" t="str">
        <f>Reto1_Datos!D35</f>
        <v>Heredia</v>
      </c>
      <c r="E36" s="7" t="str">
        <f>Reto1_Datos!E35</f>
        <v>Fabiola Rios</v>
      </c>
      <c r="F36" s="11">
        <f>Reto1_Datos!L35</f>
        <v>156000</v>
      </c>
      <c r="G36" s="4" t="str">
        <f t="shared" si="0"/>
        <v>Basico</v>
      </c>
    </row>
    <row r="37" spans="1:7" ht="15" customHeight="1" x14ac:dyDescent="0.2">
      <c r="A37" s="12">
        <f>Reto1_Datos!A36</f>
        <v>19</v>
      </c>
      <c r="B37" s="7" t="str">
        <f>Reto1_Datos!B36</f>
        <v>Julio</v>
      </c>
      <c r="C37" s="7" t="str">
        <f>Reto1_Datos!C36</f>
        <v>T3</v>
      </c>
      <c r="D37" s="7" t="str">
        <f>Reto1_Datos!D36</f>
        <v>Alajuela</v>
      </c>
      <c r="E37" s="7" t="str">
        <f>Reto1_Datos!E36</f>
        <v>Rosa Mendez</v>
      </c>
      <c r="F37" s="11">
        <f>Reto1_Datos!L36</f>
        <v>15300</v>
      </c>
      <c r="G37" s="4" t="str">
        <f t="shared" si="0"/>
        <v>Basico</v>
      </c>
    </row>
    <row r="38" spans="1:7" ht="15" customHeight="1" x14ac:dyDescent="0.2">
      <c r="A38" s="12">
        <f>Reto1_Datos!A37</f>
        <v>20</v>
      </c>
      <c r="B38" s="7" t="str">
        <f>Reto1_Datos!B37</f>
        <v>Agosto</v>
      </c>
      <c r="C38" s="7" t="str">
        <f>Reto1_Datos!C37</f>
        <v>T3</v>
      </c>
      <c r="D38" s="7" t="str">
        <f>Reto1_Datos!D37</f>
        <v>Liberia</v>
      </c>
      <c r="E38" s="7" t="str">
        <f>Reto1_Datos!E37</f>
        <v>Karina Solis</v>
      </c>
      <c r="F38" s="11">
        <f>Reto1_Datos!L37</f>
        <v>49500</v>
      </c>
      <c r="G38" s="4" t="str">
        <f t="shared" si="0"/>
        <v>Basico</v>
      </c>
    </row>
    <row r="39" spans="1:7" ht="15" customHeight="1" x14ac:dyDescent="0.2">
      <c r="A39" s="12">
        <f>Reto1_Datos!A38</f>
        <v>21</v>
      </c>
      <c r="B39" s="7" t="str">
        <f>Reto1_Datos!B38</f>
        <v>Septiembre</v>
      </c>
      <c r="C39" s="7" t="str">
        <f>Reto1_Datos!C38</f>
        <v>T3</v>
      </c>
      <c r="D39" s="7" t="str">
        <f>Reto1_Datos!D38</f>
        <v>Central</v>
      </c>
      <c r="E39" s="7" t="str">
        <f>Reto1_Datos!E38</f>
        <v>Juan Mora</v>
      </c>
      <c r="F39" s="11">
        <f>Reto1_Datos!L38</f>
        <v>60800</v>
      </c>
      <c r="G39" s="4" t="str">
        <f t="shared" si="0"/>
        <v>Basico</v>
      </c>
    </row>
    <row r="40" spans="1:7" ht="15" customHeight="1" x14ac:dyDescent="0.2">
      <c r="A40" s="12">
        <f>Reto1_Datos!A39</f>
        <v>22</v>
      </c>
      <c r="B40" s="7" t="str">
        <f>Reto1_Datos!B39</f>
        <v>Octubre</v>
      </c>
      <c r="C40" s="7" t="str">
        <f>Reto1_Datos!C39</f>
        <v>T4</v>
      </c>
      <c r="D40" s="7" t="str">
        <f>Reto1_Datos!D39</f>
        <v>Cartago</v>
      </c>
      <c r="E40" s="7" t="str">
        <f>Reto1_Datos!E39</f>
        <v>Maria Jimenez</v>
      </c>
      <c r="F40" s="11">
        <f>Reto1_Datos!L39</f>
        <v>448000</v>
      </c>
      <c r="G40" s="4" t="str">
        <f t="shared" si="0"/>
        <v>Regular</v>
      </c>
    </row>
    <row r="41" spans="1:7" ht="15" customHeight="1" x14ac:dyDescent="0.2">
      <c r="A41" s="12">
        <f>Reto1_Datos!A40</f>
        <v>23</v>
      </c>
      <c r="B41" s="7" t="str">
        <f>Reto1_Datos!B40</f>
        <v>Noviembre</v>
      </c>
      <c r="C41" s="7" t="str">
        <f>Reto1_Datos!C40</f>
        <v>T4</v>
      </c>
      <c r="D41" s="7" t="str">
        <f>Reto1_Datos!D40</f>
        <v>Heredia</v>
      </c>
      <c r="E41" s="7" t="str">
        <f>Reto1_Datos!E40</f>
        <v>Pedro Quesada</v>
      </c>
      <c r="F41" s="11">
        <f>Reto1_Datos!L40</f>
        <v>325000</v>
      </c>
      <c r="G41" s="4" t="str">
        <f t="shared" si="0"/>
        <v>Regular</v>
      </c>
    </row>
    <row r="42" spans="1:7" ht="15" customHeight="1" x14ac:dyDescent="0.2">
      <c r="A42" s="12">
        <f>Reto1_Datos!A41</f>
        <v>24</v>
      </c>
      <c r="B42" s="7" t="str">
        <f>Reto1_Datos!B41</f>
        <v>Diciembre</v>
      </c>
      <c r="C42" s="7" t="str">
        <f>Reto1_Datos!C41</f>
        <v>T4</v>
      </c>
      <c r="D42" s="7" t="str">
        <f>Reto1_Datos!D41</f>
        <v>Alajuela</v>
      </c>
      <c r="E42" s="7" t="str">
        <f>Reto1_Datos!E41</f>
        <v>Patricia Salas</v>
      </c>
      <c r="F42" s="11">
        <f>Reto1_Datos!L41</f>
        <v>120400</v>
      </c>
      <c r="G42" s="4" t="str">
        <f t="shared" si="0"/>
        <v>Basico</v>
      </c>
    </row>
    <row r="43" spans="1:7" ht="15" customHeight="1" x14ac:dyDescent="0.2">
      <c r="A43" s="12">
        <f>Reto1_Datos!A42</f>
        <v>25</v>
      </c>
      <c r="B43" s="7" t="str">
        <f>Reto1_Datos!B42</f>
        <v>Enero</v>
      </c>
      <c r="C43" s="7" t="str">
        <f>Reto1_Datos!C42</f>
        <v>T1</v>
      </c>
      <c r="D43" s="7" t="str">
        <f>Reto1_Datos!D42</f>
        <v>Liberia</v>
      </c>
      <c r="E43" s="7" t="str">
        <f>Reto1_Datos!E42</f>
        <v>Andres Mora</v>
      </c>
      <c r="F43" s="11">
        <f>Reto1_Datos!L42</f>
        <v>68400</v>
      </c>
      <c r="G43" s="4" t="str">
        <f t="shared" si="0"/>
        <v>Basico</v>
      </c>
    </row>
    <row r="44" spans="1:7" ht="15" customHeight="1" x14ac:dyDescent="0.2">
      <c r="A44" s="12">
        <f>Reto1_Datos!A43</f>
        <v>26</v>
      </c>
      <c r="B44" s="7" t="str">
        <f>Reto1_Datos!B43</f>
        <v>Febrero</v>
      </c>
      <c r="C44" s="7" t="str">
        <f>Reto1_Datos!C43</f>
        <v>T1</v>
      </c>
      <c r="D44" s="7" t="str">
        <f>Reto1_Datos!D43</f>
        <v>Central</v>
      </c>
      <c r="E44" s="7" t="str">
        <f>Reto1_Datos!E43</f>
        <v>Ana Vargas</v>
      </c>
      <c r="F44" s="11">
        <f>Reto1_Datos!L43</f>
        <v>365500</v>
      </c>
      <c r="G44" s="4" t="str">
        <f t="shared" si="0"/>
        <v>Regular</v>
      </c>
    </row>
    <row r="45" spans="1:7" ht="15" customHeight="1" x14ac:dyDescent="0.2">
      <c r="A45" s="12">
        <f>Reto1_Datos!A44</f>
        <v>27</v>
      </c>
      <c r="B45" s="7" t="str">
        <f>Reto1_Datos!B44</f>
        <v>Marzo</v>
      </c>
      <c r="C45" s="7" t="str">
        <f>Reto1_Datos!C44</f>
        <v>T1</v>
      </c>
      <c r="D45" s="7" t="str">
        <f>Reto1_Datos!D44</f>
        <v>Cartago</v>
      </c>
      <c r="E45" s="7" t="str">
        <f>Reto1_Datos!E44</f>
        <v>Sandra Vega</v>
      </c>
      <c r="F45" s="11">
        <f>Reto1_Datos!L44</f>
        <v>294000</v>
      </c>
      <c r="G45" s="4" t="str">
        <f t="shared" si="0"/>
        <v>Regular</v>
      </c>
    </row>
    <row r="46" spans="1:7" ht="15" customHeight="1" x14ac:dyDescent="0.2">
      <c r="A46" s="12">
        <f>Reto1_Datos!A45</f>
        <v>28</v>
      </c>
      <c r="B46" s="7" t="str">
        <f>Reto1_Datos!B45</f>
        <v>Abril</v>
      </c>
      <c r="C46" s="7" t="str">
        <f>Reto1_Datos!C45</f>
        <v>T2</v>
      </c>
      <c r="D46" s="7" t="str">
        <f>Reto1_Datos!D45</f>
        <v>Heredia</v>
      </c>
      <c r="E46" s="7" t="str">
        <f>Reto1_Datos!E45</f>
        <v>Diana Castro</v>
      </c>
      <c r="F46" s="11">
        <f>Reto1_Datos!L45</f>
        <v>147000</v>
      </c>
      <c r="G46" s="4" t="str">
        <f t="shared" si="0"/>
        <v>Basico</v>
      </c>
    </row>
    <row r="47" spans="1:7" ht="15" customHeight="1" x14ac:dyDescent="0.2">
      <c r="A47" s="12">
        <f>Reto1_Datos!A46</f>
        <v>29</v>
      </c>
      <c r="B47" s="7" t="str">
        <f>Reto1_Datos!B46</f>
        <v>Mayo</v>
      </c>
      <c r="C47" s="7" t="str">
        <f>Reto1_Datos!C46</f>
        <v>T2</v>
      </c>
      <c r="D47" s="7" t="str">
        <f>Reto1_Datos!D46</f>
        <v>Alajuela</v>
      </c>
      <c r="E47" s="7" t="str">
        <f>Reto1_Datos!E46</f>
        <v>Fabio Ulate</v>
      </c>
      <c r="F47" s="11">
        <f>Reto1_Datos!L46</f>
        <v>27550</v>
      </c>
      <c r="G47" s="4" t="str">
        <f t="shared" si="0"/>
        <v>Basico</v>
      </c>
    </row>
    <row r="48" spans="1:7" ht="15" customHeight="1" x14ac:dyDescent="0.2">
      <c r="A48" s="12">
        <f>Reto1_Datos!A47</f>
        <v>30</v>
      </c>
      <c r="B48" s="7" t="str">
        <f>Reto1_Datos!B47</f>
        <v>Junio</v>
      </c>
      <c r="C48" s="7" t="str">
        <f>Reto1_Datos!C47</f>
        <v>T2</v>
      </c>
      <c r="D48" s="7" t="str">
        <f>Reto1_Datos!D47</f>
        <v>Liberia</v>
      </c>
      <c r="E48" s="7" t="str">
        <f>Reto1_Datos!E47</f>
        <v>Karina Solis</v>
      </c>
      <c r="F48" s="11">
        <f>Reto1_Datos!L47</f>
        <v>10260</v>
      </c>
      <c r="G48" s="4" t="str">
        <f t="shared" si="0"/>
        <v>Basico</v>
      </c>
    </row>
    <row r="49" spans="1:7" ht="15" customHeight="1" x14ac:dyDescent="0.2">
      <c r="A49" s="12">
        <f>Reto1_Datos!A48</f>
        <v>31</v>
      </c>
      <c r="B49" s="7" t="str">
        <f>Reto1_Datos!B48</f>
        <v>Julio</v>
      </c>
      <c r="C49" s="7" t="str">
        <f>Reto1_Datos!C48</f>
        <v>T3</v>
      </c>
      <c r="D49" s="7" t="str">
        <f>Reto1_Datos!D48</f>
        <v>Central</v>
      </c>
      <c r="E49" s="7" t="str">
        <f>Reto1_Datos!E48</f>
        <v>Carlos Solano</v>
      </c>
      <c r="F49" s="11">
        <f>Reto1_Datos!L48</f>
        <v>7650</v>
      </c>
      <c r="G49" s="4" t="str">
        <f t="shared" si="0"/>
        <v>Basico</v>
      </c>
    </row>
    <row r="50" spans="1:7" ht="15" customHeight="1" x14ac:dyDescent="0.2">
      <c r="A50" s="12">
        <f>Reto1_Datos!A49</f>
        <v>32</v>
      </c>
      <c r="B50" s="7" t="str">
        <f>Reto1_Datos!B49</f>
        <v>Agosto</v>
      </c>
      <c r="C50" s="7" t="str">
        <f>Reto1_Datos!C49</f>
        <v>T3</v>
      </c>
      <c r="D50" s="7" t="str">
        <f>Reto1_Datos!D49</f>
        <v>Cartago</v>
      </c>
      <c r="E50" s="7" t="str">
        <f>Reto1_Datos!E49</f>
        <v>Luis Brenes</v>
      </c>
      <c r="F50" s="11">
        <f>Reto1_Datos!L49</f>
        <v>468000</v>
      </c>
      <c r="G50" s="4" t="str">
        <f t="shared" si="0"/>
        <v>Regular</v>
      </c>
    </row>
    <row r="51" spans="1:7" ht="15" customHeight="1" x14ac:dyDescent="0.2">
      <c r="A51" s="12">
        <f>Reto1_Datos!A50</f>
        <v>33</v>
      </c>
      <c r="B51" s="7" t="str">
        <f>Reto1_Datos!B50</f>
        <v>Septiembre</v>
      </c>
      <c r="C51" s="7" t="str">
        <f>Reto1_Datos!C50</f>
        <v>T3</v>
      </c>
      <c r="D51" s="7" t="str">
        <f>Reto1_Datos!D50</f>
        <v>Heredia</v>
      </c>
      <c r="E51" s="7" t="str">
        <f>Reto1_Datos!E50</f>
        <v>Fabiola Rios</v>
      </c>
      <c r="F51" s="11">
        <f>Reto1_Datos!L50</f>
        <v>720000</v>
      </c>
      <c r="G51" s="4" t="str">
        <f t="shared" ref="G51:G82" si="1">IF(F51&gt;=500000,"Premium",IF(F51&gt;=200000,"Regular","Basico"))</f>
        <v>Premium</v>
      </c>
    </row>
    <row r="52" spans="1:7" ht="15" customHeight="1" x14ac:dyDescent="0.2">
      <c r="A52" s="12">
        <f>Reto1_Datos!A51</f>
        <v>34</v>
      </c>
      <c r="B52" s="7" t="str">
        <f>Reto1_Datos!B51</f>
        <v>Octubre</v>
      </c>
      <c r="C52" s="7" t="str">
        <f>Reto1_Datos!C51</f>
        <v>T4</v>
      </c>
      <c r="D52" s="7" t="str">
        <f>Reto1_Datos!D51</f>
        <v>Alajuela</v>
      </c>
      <c r="E52" s="7" t="str">
        <f>Reto1_Datos!E51</f>
        <v>Rosa Mendez</v>
      </c>
      <c r="F52" s="11">
        <f>Reto1_Datos!L51</f>
        <v>1520000</v>
      </c>
      <c r="G52" s="4" t="str">
        <f t="shared" si="1"/>
        <v>Premium</v>
      </c>
    </row>
    <row r="53" spans="1:7" ht="15" customHeight="1" x14ac:dyDescent="0.2">
      <c r="A53" s="12">
        <f>Reto1_Datos!A52</f>
        <v>35</v>
      </c>
      <c r="B53" s="7" t="str">
        <f>Reto1_Datos!B52</f>
        <v>Noviembre</v>
      </c>
      <c r="C53" s="7" t="str">
        <f>Reto1_Datos!C52</f>
        <v>T4</v>
      </c>
      <c r="D53" s="7" t="str">
        <f>Reto1_Datos!D52</f>
        <v>Liberia</v>
      </c>
      <c r="E53" s="7" t="str">
        <f>Reto1_Datos!E52</f>
        <v>Andres Mora</v>
      </c>
      <c r="F53" s="11">
        <f>Reto1_Datos!L52</f>
        <v>119000</v>
      </c>
      <c r="G53" s="4" t="str">
        <f t="shared" si="1"/>
        <v>Basico</v>
      </c>
    </row>
    <row r="54" spans="1:7" ht="15" customHeight="1" x14ac:dyDescent="0.2">
      <c r="A54" s="12">
        <f>Reto1_Datos!A53</f>
        <v>36</v>
      </c>
      <c r="B54" s="7" t="str">
        <f>Reto1_Datos!B53</f>
        <v>Diciembre</v>
      </c>
      <c r="C54" s="7" t="str">
        <f>Reto1_Datos!C53</f>
        <v>T4</v>
      </c>
      <c r="D54" s="7" t="str">
        <f>Reto1_Datos!D53</f>
        <v>Central</v>
      </c>
      <c r="E54" s="7" t="str">
        <f>Reto1_Datos!E53</f>
        <v>Rita Ulate</v>
      </c>
      <c r="F54" s="11">
        <f>Reto1_Datos!L53</f>
        <v>58500</v>
      </c>
      <c r="G54" s="4" t="str">
        <f t="shared" si="1"/>
        <v>Basico</v>
      </c>
    </row>
    <row r="55" spans="1:7" ht="15" customHeight="1" x14ac:dyDescent="0.2">
      <c r="A55" s="12">
        <f>Reto1_Datos!A54</f>
        <v>37</v>
      </c>
      <c r="B55" s="7" t="str">
        <f>Reto1_Datos!B54</f>
        <v>Enero</v>
      </c>
      <c r="C55" s="7" t="str">
        <f>Reto1_Datos!C54</f>
        <v>T1</v>
      </c>
      <c r="D55" s="7" t="str">
        <f>Reto1_Datos!D54</f>
        <v>Cartago</v>
      </c>
      <c r="E55" s="7" t="str">
        <f>Reto1_Datos!E54</f>
        <v>Maria Jimenez</v>
      </c>
      <c r="F55" s="11">
        <f>Reto1_Datos!L54</f>
        <v>139500</v>
      </c>
      <c r="G55" s="4" t="str">
        <f t="shared" si="1"/>
        <v>Basico</v>
      </c>
    </row>
    <row r="56" spans="1:7" ht="15" customHeight="1" x14ac:dyDescent="0.2">
      <c r="A56" s="12">
        <f>Reto1_Datos!A55</f>
        <v>38</v>
      </c>
      <c r="B56" s="7" t="str">
        <f>Reto1_Datos!B55</f>
        <v>Febrero</v>
      </c>
      <c r="C56" s="7" t="str">
        <f>Reto1_Datos!C55</f>
        <v>T1</v>
      </c>
      <c r="D56" s="7" t="str">
        <f>Reto1_Datos!D55</f>
        <v>Heredia</v>
      </c>
      <c r="E56" s="7" t="str">
        <f>Reto1_Datos!E55</f>
        <v>Pedro Quesada</v>
      </c>
      <c r="F56" s="11">
        <f>Reto1_Datos!L55</f>
        <v>240000</v>
      </c>
      <c r="G56" s="4" t="str">
        <f t="shared" si="1"/>
        <v>Regular</v>
      </c>
    </row>
    <row r="57" spans="1:7" ht="15" customHeight="1" x14ac:dyDescent="0.2">
      <c r="A57" s="12">
        <f>Reto1_Datos!A56</f>
        <v>39</v>
      </c>
      <c r="B57" s="7" t="str">
        <f>Reto1_Datos!B56</f>
        <v>Marzo</v>
      </c>
      <c r="C57" s="7" t="str">
        <f>Reto1_Datos!C56</f>
        <v>T1</v>
      </c>
      <c r="D57" s="7" t="str">
        <f>Reto1_Datos!D56</f>
        <v>Alajuela</v>
      </c>
      <c r="E57" s="7" t="str">
        <f>Reto1_Datos!E56</f>
        <v>Patricia Salas</v>
      </c>
      <c r="F57" s="11">
        <f>Reto1_Datos!L56</f>
        <v>335400</v>
      </c>
      <c r="G57" s="4" t="str">
        <f t="shared" si="1"/>
        <v>Regular</v>
      </c>
    </row>
    <row r="58" spans="1:7" ht="15" customHeight="1" x14ac:dyDescent="0.2">
      <c r="A58" s="12">
        <f>Reto1_Datos!A57</f>
        <v>40</v>
      </c>
      <c r="B58" s="7" t="str">
        <f>Reto1_Datos!B57</f>
        <v>Abril</v>
      </c>
      <c r="C58" s="7" t="str">
        <f>Reto1_Datos!C57</f>
        <v>T2</v>
      </c>
      <c r="D58" s="7" t="str">
        <f>Reto1_Datos!D57</f>
        <v>Liberia</v>
      </c>
      <c r="E58" s="7" t="str">
        <f>Reto1_Datos!E57</f>
        <v>Karina Solis</v>
      </c>
      <c r="F58" s="11">
        <f>Reto1_Datos!L57</f>
        <v>144000</v>
      </c>
      <c r="G58" s="4" t="str">
        <f t="shared" si="1"/>
        <v>Basico</v>
      </c>
    </row>
    <row r="59" spans="1:7" ht="15" customHeight="1" x14ac:dyDescent="0.2">
      <c r="A59" s="12">
        <f>Reto1_Datos!A58</f>
        <v>41</v>
      </c>
      <c r="B59" s="7" t="str">
        <f>Reto1_Datos!B58</f>
        <v>Mayo</v>
      </c>
      <c r="C59" s="7" t="str">
        <f>Reto1_Datos!C58</f>
        <v>T2</v>
      </c>
      <c r="D59" s="7" t="str">
        <f>Reto1_Datos!D58</f>
        <v>Central</v>
      </c>
      <c r="E59" s="7" t="str">
        <f>Reto1_Datos!E58</f>
        <v>Juan Mora</v>
      </c>
      <c r="F59" s="11">
        <f>Reto1_Datos!L58</f>
        <v>465000</v>
      </c>
      <c r="G59" s="4" t="str">
        <f t="shared" si="1"/>
        <v>Regular</v>
      </c>
    </row>
    <row r="60" spans="1:7" ht="15" customHeight="1" x14ac:dyDescent="0.2">
      <c r="A60" s="12">
        <f>Reto1_Datos!A59</f>
        <v>42</v>
      </c>
      <c r="B60" s="7" t="str">
        <f>Reto1_Datos!B59</f>
        <v>Junio</v>
      </c>
      <c r="C60" s="7" t="str">
        <f>Reto1_Datos!C59</f>
        <v>T2</v>
      </c>
      <c r="D60" s="7" t="str">
        <f>Reto1_Datos!D59</f>
        <v>Cartago</v>
      </c>
      <c r="E60" s="7" t="str">
        <f>Reto1_Datos!E59</f>
        <v>Sandra Vega</v>
      </c>
      <c r="F60" s="11">
        <f>Reto1_Datos!L59</f>
        <v>16000</v>
      </c>
      <c r="G60" s="4" t="str">
        <f t="shared" si="1"/>
        <v>Basico</v>
      </c>
    </row>
    <row r="61" spans="1:7" ht="15" customHeight="1" x14ac:dyDescent="0.2">
      <c r="A61" s="12">
        <f>Reto1_Datos!A60</f>
        <v>43</v>
      </c>
      <c r="B61" s="7" t="str">
        <f>Reto1_Datos!B60</f>
        <v>Julio</v>
      </c>
      <c r="C61" s="7" t="str">
        <f>Reto1_Datos!C60</f>
        <v>T3</v>
      </c>
      <c r="D61" s="7" t="str">
        <f>Reto1_Datos!D60</f>
        <v>Heredia</v>
      </c>
      <c r="E61" s="7" t="str">
        <f>Reto1_Datos!E60</f>
        <v>Diana Castro</v>
      </c>
      <c r="F61" s="11">
        <f>Reto1_Datos!L60</f>
        <v>102000</v>
      </c>
      <c r="G61" s="4" t="str">
        <f t="shared" si="1"/>
        <v>Basico</v>
      </c>
    </row>
    <row r="62" spans="1:7" ht="15" customHeight="1" x14ac:dyDescent="0.2">
      <c r="A62" s="12">
        <f>Reto1_Datos!A61</f>
        <v>44</v>
      </c>
      <c r="B62" s="7" t="str">
        <f>Reto1_Datos!B61</f>
        <v>Agosto</v>
      </c>
      <c r="C62" s="7" t="str">
        <f>Reto1_Datos!C61</f>
        <v>T3</v>
      </c>
      <c r="D62" s="7" t="str">
        <f>Reto1_Datos!D61</f>
        <v>Alajuela</v>
      </c>
      <c r="E62" s="7" t="str">
        <f>Reto1_Datos!E61</f>
        <v>Fabio Ulate</v>
      </c>
      <c r="F62" s="11">
        <f>Reto1_Datos!L61</f>
        <v>130200</v>
      </c>
      <c r="G62" s="4" t="str">
        <f t="shared" si="1"/>
        <v>Basico</v>
      </c>
    </row>
    <row r="63" spans="1:7" ht="15" customHeight="1" x14ac:dyDescent="0.2">
      <c r="A63" s="12">
        <f>Reto1_Datos!A62</f>
        <v>45</v>
      </c>
      <c r="B63" s="7" t="str">
        <f>Reto1_Datos!B62</f>
        <v>Septiembre</v>
      </c>
      <c r="C63" s="7" t="str">
        <f>Reto1_Datos!C62</f>
        <v>T3</v>
      </c>
      <c r="D63" s="7" t="str">
        <f>Reto1_Datos!D62</f>
        <v>Liberia</v>
      </c>
      <c r="E63" s="7" t="str">
        <f>Reto1_Datos!E62</f>
        <v>Andres Mora</v>
      </c>
      <c r="F63" s="11">
        <f>Reto1_Datos!L62</f>
        <v>900</v>
      </c>
      <c r="G63" s="4" t="str">
        <f t="shared" si="1"/>
        <v>Basico</v>
      </c>
    </row>
    <row r="64" spans="1:7" ht="15" customHeight="1" x14ac:dyDescent="0.2">
      <c r="A64" s="12">
        <f>Reto1_Datos!A63</f>
        <v>46</v>
      </c>
      <c r="B64" s="7" t="str">
        <f>Reto1_Datos!B63</f>
        <v>Octubre</v>
      </c>
      <c r="C64" s="7" t="str">
        <f>Reto1_Datos!C63</f>
        <v>T4</v>
      </c>
      <c r="D64" s="7" t="str">
        <f>Reto1_Datos!D63</f>
        <v>Central</v>
      </c>
      <c r="E64" s="7" t="str">
        <f>Reto1_Datos!E63</f>
        <v>Ana Vargas</v>
      </c>
      <c r="F64" s="11">
        <f>Reto1_Datos!L63</f>
        <v>96000</v>
      </c>
      <c r="G64" s="4" t="str">
        <f t="shared" si="1"/>
        <v>Basico</v>
      </c>
    </row>
    <row r="65" spans="1:7" ht="15" customHeight="1" x14ac:dyDescent="0.2">
      <c r="A65" s="12">
        <f>Reto1_Datos!A64</f>
        <v>47</v>
      </c>
      <c r="B65" s="7" t="str">
        <f>Reto1_Datos!B64</f>
        <v>Noviembre</v>
      </c>
      <c r="C65" s="7" t="str">
        <f>Reto1_Datos!C64</f>
        <v>T4</v>
      </c>
      <c r="D65" s="7" t="str">
        <f>Reto1_Datos!D64</f>
        <v>Cartago</v>
      </c>
      <c r="E65" s="7" t="str">
        <f>Reto1_Datos!E64</f>
        <v>Luis Brenes</v>
      </c>
      <c r="F65" s="11">
        <f>Reto1_Datos!L64</f>
        <v>81000</v>
      </c>
      <c r="G65" s="4" t="str">
        <f t="shared" si="1"/>
        <v>Basico</v>
      </c>
    </row>
    <row r="66" spans="1:7" ht="15" customHeight="1" x14ac:dyDescent="0.2">
      <c r="A66" s="12">
        <f>Reto1_Datos!A65</f>
        <v>48</v>
      </c>
      <c r="B66" s="7" t="str">
        <f>Reto1_Datos!B65</f>
        <v>Diciembre</v>
      </c>
      <c r="C66" s="7" t="str">
        <f>Reto1_Datos!C65</f>
        <v>T4</v>
      </c>
      <c r="D66" s="7" t="str">
        <f>Reto1_Datos!D65</f>
        <v>Heredia</v>
      </c>
      <c r="E66" s="7" t="str">
        <f>Reto1_Datos!E65</f>
        <v>Fabiola Rios</v>
      </c>
      <c r="F66" s="11">
        <f>Reto1_Datos!L65</f>
        <v>343200</v>
      </c>
      <c r="G66" s="4" t="str">
        <f t="shared" si="1"/>
        <v>Regular</v>
      </c>
    </row>
    <row r="67" spans="1:7" ht="15" customHeight="1" x14ac:dyDescent="0.2">
      <c r="A67" s="12">
        <f>Reto1_Datos!A66</f>
        <v>49</v>
      </c>
      <c r="B67" s="7" t="str">
        <f>Reto1_Datos!B66</f>
        <v>Enero</v>
      </c>
      <c r="C67" s="7" t="str">
        <f>Reto1_Datos!C66</f>
        <v>T1</v>
      </c>
      <c r="D67" s="7" t="str">
        <f>Reto1_Datos!D66</f>
        <v>Alajuela</v>
      </c>
      <c r="E67" s="7" t="str">
        <f>Reto1_Datos!E66</f>
        <v>Rosa Mendez</v>
      </c>
      <c r="F67" s="11">
        <f>Reto1_Datos!L66</f>
        <v>37400</v>
      </c>
      <c r="G67" s="4" t="str">
        <f t="shared" si="1"/>
        <v>Basico</v>
      </c>
    </row>
    <row r="68" spans="1:7" ht="15" customHeight="1" x14ac:dyDescent="0.2">
      <c r="A68" s="12">
        <f>Reto1_Datos!A67</f>
        <v>50</v>
      </c>
      <c r="B68" s="7" t="str">
        <f>Reto1_Datos!B67</f>
        <v>Febrero</v>
      </c>
      <c r="C68" s="7" t="str">
        <f>Reto1_Datos!C67</f>
        <v>T1</v>
      </c>
      <c r="D68" s="7" t="str">
        <f>Reto1_Datos!D67</f>
        <v>Liberia</v>
      </c>
      <c r="E68" s="7" t="str">
        <f>Reto1_Datos!E67</f>
        <v>Karina Solis</v>
      </c>
      <c r="F68" s="11">
        <f>Reto1_Datos!L67</f>
        <v>16500</v>
      </c>
      <c r="G68" s="4" t="str">
        <f t="shared" si="1"/>
        <v>Basico</v>
      </c>
    </row>
    <row r="69" spans="1:7" ht="15" customHeight="1" x14ac:dyDescent="0.2">
      <c r="A69" s="12">
        <f>Reto1_Datos!A68</f>
        <v>51</v>
      </c>
      <c r="B69" s="7" t="str">
        <f>Reto1_Datos!B68</f>
        <v>Marzo</v>
      </c>
      <c r="C69" s="7" t="str">
        <f>Reto1_Datos!C68</f>
        <v>T1</v>
      </c>
      <c r="D69" s="7" t="str">
        <f>Reto1_Datos!D68</f>
        <v>Central</v>
      </c>
      <c r="E69" s="7" t="str">
        <f>Reto1_Datos!E68</f>
        <v>Carlos Solano</v>
      </c>
      <c r="F69" s="11">
        <f>Reto1_Datos!L68</f>
        <v>108800</v>
      </c>
      <c r="G69" s="4" t="str">
        <f t="shared" si="1"/>
        <v>Basico</v>
      </c>
    </row>
    <row r="70" spans="1:7" ht="15" customHeight="1" x14ac:dyDescent="0.2">
      <c r="A70" s="12">
        <f>Reto1_Datos!A69</f>
        <v>52</v>
      </c>
      <c r="B70" s="7" t="str">
        <f>Reto1_Datos!B69</f>
        <v>Abril</v>
      </c>
      <c r="C70" s="7" t="str">
        <f>Reto1_Datos!C69</f>
        <v>T2</v>
      </c>
      <c r="D70" s="7" t="str">
        <f>Reto1_Datos!D69</f>
        <v>Cartago</v>
      </c>
      <c r="E70" s="7" t="str">
        <f>Reto1_Datos!E69</f>
        <v>Maria Jimenez</v>
      </c>
      <c r="F70" s="11">
        <f>Reto1_Datos!L69</f>
        <v>56000</v>
      </c>
      <c r="G70" s="4" t="str">
        <f t="shared" si="1"/>
        <v>Basico</v>
      </c>
    </row>
    <row r="71" spans="1:7" ht="15" customHeight="1" x14ac:dyDescent="0.2">
      <c r="A71" s="12">
        <f>Reto1_Datos!A70</f>
        <v>53</v>
      </c>
      <c r="B71" s="7" t="str">
        <f>Reto1_Datos!B70</f>
        <v>Mayo</v>
      </c>
      <c r="C71" s="7" t="str">
        <f>Reto1_Datos!C70</f>
        <v>T2</v>
      </c>
      <c r="D71" s="7" t="str">
        <f>Reto1_Datos!D70</f>
        <v>Heredia</v>
      </c>
      <c r="E71" s="7" t="str">
        <f>Reto1_Datos!E70</f>
        <v>Pedro Quesada</v>
      </c>
      <c r="F71" s="11">
        <f>Reto1_Datos!L70</f>
        <v>2860000</v>
      </c>
      <c r="G71" s="4" t="str">
        <f t="shared" si="1"/>
        <v>Premium</v>
      </c>
    </row>
    <row r="72" spans="1:7" ht="15" customHeight="1" x14ac:dyDescent="0.2">
      <c r="A72" s="12">
        <f>Reto1_Datos!A71</f>
        <v>54</v>
      </c>
      <c r="B72" s="7" t="str">
        <f>Reto1_Datos!B71</f>
        <v>Junio</v>
      </c>
      <c r="C72" s="7" t="str">
        <f>Reto1_Datos!C71</f>
        <v>T2</v>
      </c>
      <c r="D72" s="7" t="str">
        <f>Reto1_Datos!D71</f>
        <v>Alajuela</v>
      </c>
      <c r="E72" s="7" t="str">
        <f>Reto1_Datos!E71</f>
        <v>Patricia Salas</v>
      </c>
      <c r="F72" s="11">
        <f>Reto1_Datos!L71</f>
        <v>28000</v>
      </c>
      <c r="G72" s="4" t="str">
        <f t="shared" si="1"/>
        <v>Basico</v>
      </c>
    </row>
    <row r="73" spans="1:7" ht="15" customHeight="1" x14ac:dyDescent="0.2">
      <c r="A73" s="12">
        <f>Reto1_Datos!A72</f>
        <v>55</v>
      </c>
      <c r="B73" s="7" t="str">
        <f>Reto1_Datos!B72</f>
        <v>Julio</v>
      </c>
      <c r="C73" s="7" t="str">
        <f>Reto1_Datos!C72</f>
        <v>T3</v>
      </c>
      <c r="D73" s="7" t="str">
        <f>Reto1_Datos!D72</f>
        <v>Liberia</v>
      </c>
      <c r="E73" s="7" t="str">
        <f>Reto1_Datos!E72</f>
        <v>Andres Mora</v>
      </c>
      <c r="F73" s="11">
        <f>Reto1_Datos!L72</f>
        <v>36000</v>
      </c>
      <c r="G73" s="4" t="str">
        <f t="shared" si="1"/>
        <v>Basico</v>
      </c>
    </row>
    <row r="74" spans="1:7" ht="15" customHeight="1" x14ac:dyDescent="0.2">
      <c r="A74" s="12">
        <f>Reto1_Datos!A73</f>
        <v>56</v>
      </c>
      <c r="B74" s="7" t="str">
        <f>Reto1_Datos!B73</f>
        <v>Agosto</v>
      </c>
      <c r="C74" s="7" t="str">
        <f>Reto1_Datos!C73</f>
        <v>T3</v>
      </c>
      <c r="D74" s="7" t="str">
        <f>Reto1_Datos!D73</f>
        <v>Central</v>
      </c>
      <c r="E74" s="7" t="str">
        <f>Reto1_Datos!E73</f>
        <v>Rita Ulate</v>
      </c>
      <c r="F74" s="11">
        <f>Reto1_Datos!L73</f>
        <v>68000</v>
      </c>
      <c r="G74" s="4" t="str">
        <f t="shared" si="1"/>
        <v>Basico</v>
      </c>
    </row>
    <row r="75" spans="1:7" ht="15" customHeight="1" x14ac:dyDescent="0.2">
      <c r="A75" s="12">
        <f>Reto1_Datos!A74</f>
        <v>57</v>
      </c>
      <c r="B75" s="7" t="str">
        <f>Reto1_Datos!B74</f>
        <v>Septiembre</v>
      </c>
      <c r="C75" s="7" t="str">
        <f>Reto1_Datos!C74</f>
        <v>T3</v>
      </c>
      <c r="D75" s="7" t="str">
        <f>Reto1_Datos!D74</f>
        <v>Cartago</v>
      </c>
      <c r="E75" s="7" t="str">
        <f>Reto1_Datos!E74</f>
        <v>Sandra Vega</v>
      </c>
      <c r="F75" s="11">
        <f>Reto1_Datos!L74</f>
        <v>147000</v>
      </c>
      <c r="G75" s="4" t="str">
        <f t="shared" si="1"/>
        <v>Basico</v>
      </c>
    </row>
    <row r="76" spans="1:7" ht="15" customHeight="1" x14ac:dyDescent="0.2">
      <c r="A76" s="12">
        <f>Reto1_Datos!A75</f>
        <v>58</v>
      </c>
      <c r="B76" s="7" t="str">
        <f>Reto1_Datos!B75</f>
        <v>Octubre</v>
      </c>
      <c r="C76" s="7" t="str">
        <f>Reto1_Datos!C75</f>
        <v>T4</v>
      </c>
      <c r="D76" s="7" t="str">
        <f>Reto1_Datos!D75</f>
        <v>Heredia</v>
      </c>
      <c r="E76" s="7" t="str">
        <f>Reto1_Datos!E75</f>
        <v>Diana Castro</v>
      </c>
      <c r="F76" s="11">
        <f>Reto1_Datos!L75</f>
        <v>56000</v>
      </c>
      <c r="G76" s="4" t="str">
        <f t="shared" si="1"/>
        <v>Basico</v>
      </c>
    </row>
    <row r="77" spans="1:7" ht="15" customHeight="1" x14ac:dyDescent="0.2">
      <c r="A77" s="12">
        <f>Reto1_Datos!A76</f>
        <v>59</v>
      </c>
      <c r="B77" s="7" t="str">
        <f>Reto1_Datos!B76</f>
        <v>Noviembre</v>
      </c>
      <c r="C77" s="7" t="str">
        <f>Reto1_Datos!C76</f>
        <v>T4</v>
      </c>
      <c r="D77" s="7" t="str">
        <f>Reto1_Datos!D76</f>
        <v>Alajuela</v>
      </c>
      <c r="E77" s="7" t="str">
        <f>Reto1_Datos!E76</f>
        <v>Fabio Ulate</v>
      </c>
      <c r="F77" s="11">
        <f>Reto1_Datos!L76</f>
        <v>9500</v>
      </c>
      <c r="G77" s="4" t="str">
        <f t="shared" si="1"/>
        <v>Basico</v>
      </c>
    </row>
    <row r="78" spans="1:7" ht="15" customHeight="1" x14ac:dyDescent="0.2">
      <c r="A78" s="12">
        <f>Reto1_Datos!A77</f>
        <v>60</v>
      </c>
      <c r="B78" s="7" t="str">
        <f>Reto1_Datos!B77</f>
        <v>Diciembre</v>
      </c>
      <c r="C78" s="7" t="str">
        <f>Reto1_Datos!C77</f>
        <v>T4</v>
      </c>
      <c r="D78" s="7" t="str">
        <f>Reto1_Datos!D77</f>
        <v>Liberia</v>
      </c>
      <c r="E78" s="7" t="str">
        <f>Reto1_Datos!E77</f>
        <v>Karina Solis</v>
      </c>
      <c r="F78" s="11">
        <f>Reto1_Datos!L77</f>
        <v>3800</v>
      </c>
      <c r="G78" s="4" t="str">
        <f t="shared" si="1"/>
        <v>Basico</v>
      </c>
    </row>
    <row r="79" spans="1:7" ht="15" customHeight="1" x14ac:dyDescent="0.2">
      <c r="A79" s="12">
        <f>Reto1_Datos!A78</f>
        <v>61</v>
      </c>
      <c r="B79" s="7" t="str">
        <f>Reto1_Datos!B78</f>
        <v>Enero</v>
      </c>
      <c r="C79" s="7" t="str">
        <f>Reto1_Datos!C78</f>
        <v>T1</v>
      </c>
      <c r="D79" s="7" t="str">
        <f>Reto1_Datos!D78</f>
        <v>Central</v>
      </c>
      <c r="E79" s="7" t="str">
        <f>Reto1_Datos!E78</f>
        <v>Juan Mora</v>
      </c>
      <c r="F79" s="11">
        <f>Reto1_Datos!L78</f>
        <v>25500</v>
      </c>
      <c r="G79" s="4" t="str">
        <f t="shared" si="1"/>
        <v>Basico</v>
      </c>
    </row>
    <row r="80" spans="1:7" ht="15" customHeight="1" x14ac:dyDescent="0.2">
      <c r="A80" s="12">
        <f>Reto1_Datos!A79</f>
        <v>62</v>
      </c>
      <c r="B80" s="7" t="str">
        <f>Reto1_Datos!B79</f>
        <v>Febrero</v>
      </c>
      <c r="C80" s="7" t="str">
        <f>Reto1_Datos!C79</f>
        <v>T1</v>
      </c>
      <c r="D80" s="7" t="str">
        <f>Reto1_Datos!D79</f>
        <v>Cartago</v>
      </c>
      <c r="E80" s="7" t="str">
        <f>Reto1_Datos!E79</f>
        <v>Luis Brenes</v>
      </c>
      <c r="F80" s="11">
        <f>Reto1_Datos!L79</f>
        <v>156000</v>
      </c>
      <c r="G80" s="4" t="str">
        <f t="shared" si="1"/>
        <v>Basico</v>
      </c>
    </row>
    <row r="81" spans="1:7" ht="15" customHeight="1" x14ac:dyDescent="0.2">
      <c r="A81" s="12">
        <f>Reto1_Datos!A80</f>
        <v>63</v>
      </c>
      <c r="B81" s="7" t="str">
        <f>Reto1_Datos!B80</f>
        <v>Marzo</v>
      </c>
      <c r="C81" s="7" t="str">
        <f>Reto1_Datos!C80</f>
        <v>T1</v>
      </c>
      <c r="D81" s="7" t="str">
        <f>Reto1_Datos!D80</f>
        <v>Heredia</v>
      </c>
      <c r="E81" s="7" t="str">
        <f>Reto1_Datos!E80</f>
        <v>Fabiola Rios</v>
      </c>
      <c r="F81" s="11">
        <f>Reto1_Datos!L80</f>
        <v>1890000</v>
      </c>
      <c r="G81" s="4" t="str">
        <f t="shared" si="1"/>
        <v>Premium</v>
      </c>
    </row>
    <row r="82" spans="1:7" ht="15" customHeight="1" x14ac:dyDescent="0.2">
      <c r="A82" s="12">
        <f>Reto1_Datos!A81</f>
        <v>64</v>
      </c>
      <c r="B82" s="7" t="str">
        <f>Reto1_Datos!B81</f>
        <v>Abril</v>
      </c>
      <c r="C82" s="7" t="str">
        <f>Reto1_Datos!C81</f>
        <v>T2</v>
      </c>
      <c r="D82" s="7" t="str">
        <f>Reto1_Datos!D81</f>
        <v>Alajuela</v>
      </c>
      <c r="E82" s="7" t="str">
        <f>Reto1_Datos!E81</f>
        <v>Rosa Mendez</v>
      </c>
      <c r="F82" s="11">
        <f>Reto1_Datos!L81</f>
        <v>304000</v>
      </c>
      <c r="G82" s="4" t="str">
        <f t="shared" si="1"/>
        <v>Regular</v>
      </c>
    </row>
    <row r="83" spans="1:7" ht="15" customHeight="1" x14ac:dyDescent="0.2">
      <c r="A83" s="12">
        <f>Reto1_Datos!A82</f>
        <v>65</v>
      </c>
      <c r="B83" s="7" t="str">
        <f>Reto1_Datos!B82</f>
        <v>Mayo</v>
      </c>
      <c r="C83" s="7" t="str">
        <f>Reto1_Datos!C82</f>
        <v>T2</v>
      </c>
      <c r="D83" s="7" t="str">
        <f>Reto1_Datos!D82</f>
        <v>Liberia</v>
      </c>
      <c r="E83" s="7" t="str">
        <f>Reto1_Datos!E82</f>
        <v>Andres Mora</v>
      </c>
      <c r="F83" s="11">
        <f>Reto1_Datos!L82</f>
        <v>170000</v>
      </c>
      <c r="G83" s="4" t="str">
        <f t="shared" ref="G83:G114" si="2">IF(F83&gt;=500000,"Premium",IF(F83&gt;=200000,"Regular","Basico"))</f>
        <v>Basico</v>
      </c>
    </row>
    <row r="84" spans="1:7" ht="15" customHeight="1" x14ac:dyDescent="0.2">
      <c r="A84" s="12">
        <f>Reto1_Datos!A83</f>
        <v>66</v>
      </c>
      <c r="B84" s="7" t="str">
        <f>Reto1_Datos!B83</f>
        <v>Junio</v>
      </c>
      <c r="C84" s="7" t="str">
        <f>Reto1_Datos!C83</f>
        <v>T2</v>
      </c>
      <c r="D84" s="7" t="str">
        <f>Reto1_Datos!D83</f>
        <v>Central</v>
      </c>
      <c r="E84" s="7" t="str">
        <f>Reto1_Datos!E83</f>
        <v>Ana Vargas</v>
      </c>
      <c r="F84" s="11">
        <f>Reto1_Datos!L83</f>
        <v>184500</v>
      </c>
      <c r="G84" s="4" t="str">
        <f t="shared" si="2"/>
        <v>Basico</v>
      </c>
    </row>
    <row r="85" spans="1:7" ht="15" customHeight="1" x14ac:dyDescent="0.2">
      <c r="A85" s="12">
        <f>Reto1_Datos!A84</f>
        <v>67</v>
      </c>
      <c r="B85" s="7" t="str">
        <f>Reto1_Datos!B84</f>
        <v>Julio</v>
      </c>
      <c r="C85" s="7" t="str">
        <f>Reto1_Datos!C84</f>
        <v>T3</v>
      </c>
      <c r="D85" s="7" t="str">
        <f>Reto1_Datos!D84</f>
        <v>Cartago</v>
      </c>
      <c r="E85" s="7" t="str">
        <f>Reto1_Datos!E84</f>
        <v>Maria Jimenez</v>
      </c>
      <c r="F85" s="11">
        <f>Reto1_Datos!L84</f>
        <v>697500</v>
      </c>
      <c r="G85" s="4" t="str">
        <f t="shared" si="2"/>
        <v>Premium</v>
      </c>
    </row>
    <row r="86" spans="1:7" ht="15" customHeight="1" x14ac:dyDescent="0.2">
      <c r="A86" s="12">
        <f>Reto1_Datos!A85</f>
        <v>68</v>
      </c>
      <c r="B86" s="7" t="str">
        <f>Reto1_Datos!B85</f>
        <v>Agosto</v>
      </c>
      <c r="C86" s="7" t="str">
        <f>Reto1_Datos!C85</f>
        <v>T3</v>
      </c>
      <c r="D86" s="7" t="str">
        <f>Reto1_Datos!D85</f>
        <v>Heredia</v>
      </c>
      <c r="E86" s="7" t="str">
        <f>Reto1_Datos!E85</f>
        <v>Pedro Quesada</v>
      </c>
      <c r="F86" s="11">
        <f>Reto1_Datos!L85</f>
        <v>24000</v>
      </c>
      <c r="G86" s="4" t="str">
        <f t="shared" si="2"/>
        <v>Basico</v>
      </c>
    </row>
    <row r="87" spans="1:7" ht="15" customHeight="1" x14ac:dyDescent="0.2">
      <c r="A87" s="12">
        <f>Reto1_Datos!A86</f>
        <v>69</v>
      </c>
      <c r="B87" s="7" t="str">
        <f>Reto1_Datos!B86</f>
        <v>Septiembre</v>
      </c>
      <c r="C87" s="7" t="str">
        <f>Reto1_Datos!C86</f>
        <v>T3</v>
      </c>
      <c r="D87" s="7" t="str">
        <f>Reto1_Datos!D86</f>
        <v>Alajuela</v>
      </c>
      <c r="E87" s="7" t="str">
        <f>Reto1_Datos!E86</f>
        <v>Patricia Salas</v>
      </c>
      <c r="F87" s="11">
        <f>Reto1_Datos!L86</f>
        <v>202800</v>
      </c>
      <c r="G87" s="4" t="str">
        <f t="shared" si="2"/>
        <v>Regular</v>
      </c>
    </row>
    <row r="88" spans="1:7" ht="15" customHeight="1" x14ac:dyDescent="0.2">
      <c r="A88" s="12">
        <f>Reto1_Datos!A87</f>
        <v>70</v>
      </c>
      <c r="B88" s="7" t="str">
        <f>Reto1_Datos!B87</f>
        <v>Octubre</v>
      </c>
      <c r="C88" s="7" t="str">
        <f>Reto1_Datos!C87</f>
        <v>T4</v>
      </c>
      <c r="D88" s="7" t="str">
        <f>Reto1_Datos!D87</f>
        <v>Liberia</v>
      </c>
      <c r="E88" s="7" t="str">
        <f>Reto1_Datos!E87</f>
        <v>Karina Solis</v>
      </c>
      <c r="F88" s="11">
        <f>Reto1_Datos!L87</f>
        <v>64000</v>
      </c>
      <c r="G88" s="4" t="str">
        <f t="shared" si="2"/>
        <v>Basico</v>
      </c>
    </row>
    <row r="89" spans="1:7" ht="15" customHeight="1" x14ac:dyDescent="0.2">
      <c r="A89" s="12">
        <f>Reto1_Datos!A88</f>
        <v>71</v>
      </c>
      <c r="B89" s="7" t="str">
        <f>Reto1_Datos!B88</f>
        <v>Noviembre</v>
      </c>
      <c r="C89" s="7" t="str">
        <f>Reto1_Datos!C88</f>
        <v>T4</v>
      </c>
      <c r="D89" s="7" t="str">
        <f>Reto1_Datos!D88</f>
        <v>Central</v>
      </c>
      <c r="E89" s="7" t="str">
        <f>Reto1_Datos!E88</f>
        <v>Carlos Solano</v>
      </c>
      <c r="F89" s="11">
        <f>Reto1_Datos!L88</f>
        <v>465000</v>
      </c>
      <c r="G89" s="4" t="str">
        <f t="shared" si="2"/>
        <v>Regular</v>
      </c>
    </row>
    <row r="90" spans="1:7" ht="15" customHeight="1" x14ac:dyDescent="0.2">
      <c r="A90" s="12">
        <f>Reto1_Datos!A89</f>
        <v>72</v>
      </c>
      <c r="B90" s="7" t="str">
        <f>Reto1_Datos!B89</f>
        <v>Diciembre</v>
      </c>
      <c r="C90" s="7" t="str">
        <f>Reto1_Datos!C89</f>
        <v>T4</v>
      </c>
      <c r="D90" s="7" t="str">
        <f>Reto1_Datos!D89</f>
        <v>Cartago</v>
      </c>
      <c r="E90" s="7" t="str">
        <f>Reto1_Datos!E89</f>
        <v>Sandra Vega</v>
      </c>
      <c r="F90" s="11">
        <f>Reto1_Datos!L89</f>
        <v>19200</v>
      </c>
      <c r="G90" s="4" t="str">
        <f t="shared" si="2"/>
        <v>Basico</v>
      </c>
    </row>
    <row r="91" spans="1:7" ht="15" customHeight="1" x14ac:dyDescent="0.2">
      <c r="A91" s="12">
        <f>Reto1_Datos!A90</f>
        <v>73</v>
      </c>
      <c r="B91" s="7" t="str">
        <f>Reto1_Datos!B90</f>
        <v>Enero</v>
      </c>
      <c r="C91" s="7" t="str">
        <f>Reto1_Datos!C90</f>
        <v>T1</v>
      </c>
      <c r="D91" s="7" t="str">
        <f>Reto1_Datos!D90</f>
        <v>Heredia</v>
      </c>
      <c r="E91" s="7" t="str">
        <f>Reto1_Datos!E90</f>
        <v>Diana Castro</v>
      </c>
      <c r="F91" s="11">
        <f>Reto1_Datos!L90</f>
        <v>127500</v>
      </c>
      <c r="G91" s="4" t="str">
        <f t="shared" si="2"/>
        <v>Basico</v>
      </c>
    </row>
    <row r="92" spans="1:7" ht="15" customHeight="1" x14ac:dyDescent="0.2">
      <c r="A92" s="12">
        <f>Reto1_Datos!A91</f>
        <v>74</v>
      </c>
      <c r="B92" s="7" t="str">
        <f>Reto1_Datos!B91</f>
        <v>Febrero</v>
      </c>
      <c r="C92" s="7" t="str">
        <f>Reto1_Datos!C91</f>
        <v>T1</v>
      </c>
      <c r="D92" s="7" t="str">
        <f>Reto1_Datos!D91</f>
        <v>Alajuela</v>
      </c>
      <c r="E92" s="7" t="str">
        <f>Reto1_Datos!E91</f>
        <v>Fabio Ulate</v>
      </c>
      <c r="F92" s="11">
        <f>Reto1_Datos!L91</f>
        <v>8400</v>
      </c>
      <c r="G92" s="4" t="str">
        <f t="shared" si="2"/>
        <v>Basico</v>
      </c>
    </row>
    <row r="93" spans="1:7" ht="15" customHeight="1" x14ac:dyDescent="0.2">
      <c r="A93" s="12">
        <f>Reto1_Datos!A92</f>
        <v>75</v>
      </c>
      <c r="B93" s="7" t="str">
        <f>Reto1_Datos!B92</f>
        <v>Marzo</v>
      </c>
      <c r="C93" s="7" t="str">
        <f>Reto1_Datos!C92</f>
        <v>T1</v>
      </c>
      <c r="D93" s="7" t="str">
        <f>Reto1_Datos!D92</f>
        <v>Liberia</v>
      </c>
      <c r="E93" s="7" t="str">
        <f>Reto1_Datos!E92</f>
        <v>Andres Mora</v>
      </c>
      <c r="F93" s="11">
        <f>Reto1_Datos!L92</f>
        <v>15750</v>
      </c>
      <c r="G93" s="4" t="str">
        <f t="shared" si="2"/>
        <v>Basico</v>
      </c>
    </row>
    <row r="94" spans="1:7" ht="15" customHeight="1" x14ac:dyDescent="0.2">
      <c r="A94" s="12">
        <f>Reto1_Datos!A93</f>
        <v>76</v>
      </c>
      <c r="B94" s="7" t="str">
        <f>Reto1_Datos!B93</f>
        <v>Abril</v>
      </c>
      <c r="C94" s="7" t="str">
        <f>Reto1_Datos!C93</f>
        <v>T2</v>
      </c>
      <c r="D94" s="7" t="str">
        <f>Reto1_Datos!D93</f>
        <v>Central</v>
      </c>
      <c r="E94" s="7" t="str">
        <f>Reto1_Datos!E93</f>
        <v>Rita Ulate</v>
      </c>
      <c r="F94" s="11">
        <f>Reto1_Datos!L93</f>
        <v>444000</v>
      </c>
      <c r="G94" s="4" t="str">
        <f t="shared" si="2"/>
        <v>Regular</v>
      </c>
    </row>
    <row r="95" spans="1:7" ht="15" customHeight="1" x14ac:dyDescent="0.2">
      <c r="A95" s="12">
        <f>Reto1_Datos!A94</f>
        <v>77</v>
      </c>
      <c r="B95" s="7" t="str">
        <f>Reto1_Datos!B94</f>
        <v>Mayo</v>
      </c>
      <c r="C95" s="7" t="str">
        <f>Reto1_Datos!C94</f>
        <v>T2</v>
      </c>
      <c r="D95" s="7" t="str">
        <f>Reto1_Datos!D94</f>
        <v>Cartago</v>
      </c>
      <c r="E95" s="7" t="str">
        <f>Reto1_Datos!E94</f>
        <v>Luis Brenes</v>
      </c>
      <c r="F95" s="11">
        <f>Reto1_Datos!L94</f>
        <v>103500</v>
      </c>
      <c r="G95" s="4" t="str">
        <f t="shared" si="2"/>
        <v>Basico</v>
      </c>
    </row>
    <row r="96" spans="1:7" ht="15" customHeight="1" x14ac:dyDescent="0.2">
      <c r="A96" s="12">
        <f>Reto1_Datos!A95</f>
        <v>78</v>
      </c>
      <c r="B96" s="7" t="str">
        <f>Reto1_Datos!B95</f>
        <v>Junio</v>
      </c>
      <c r="C96" s="7" t="str">
        <f>Reto1_Datos!C95</f>
        <v>T2</v>
      </c>
      <c r="D96" s="7" t="str">
        <f>Reto1_Datos!D95</f>
        <v>Heredia</v>
      </c>
      <c r="E96" s="7" t="str">
        <f>Reto1_Datos!E95</f>
        <v>Fabiola Rios</v>
      </c>
      <c r="F96" s="11">
        <f>Reto1_Datos!L95</f>
        <v>101400</v>
      </c>
      <c r="G96" s="4" t="str">
        <f t="shared" si="2"/>
        <v>Basico</v>
      </c>
    </row>
    <row r="97" spans="1:8" ht="15" customHeight="1" x14ac:dyDescent="0.2">
      <c r="A97" s="12">
        <f>Reto1_Datos!A96</f>
        <v>79</v>
      </c>
      <c r="B97" s="7" t="str">
        <f>Reto1_Datos!B96</f>
        <v>Julio</v>
      </c>
      <c r="C97" s="7" t="str">
        <f>Reto1_Datos!C96</f>
        <v>T3</v>
      </c>
      <c r="D97" s="7" t="str">
        <f>Reto1_Datos!D96</f>
        <v>Alajuela</v>
      </c>
      <c r="E97" s="7" t="str">
        <f>Reto1_Datos!E96</f>
        <v>Rosa Mendez</v>
      </c>
      <c r="F97" s="11">
        <f>Reto1_Datos!L96</f>
        <v>34000</v>
      </c>
      <c r="G97" s="4" t="str">
        <f t="shared" si="2"/>
        <v>Basico</v>
      </c>
    </row>
    <row r="98" spans="1:8" ht="15" customHeight="1" x14ac:dyDescent="0.2">
      <c r="A98" s="12">
        <f>Reto1_Datos!A97</f>
        <v>80</v>
      </c>
      <c r="B98" s="7" t="str">
        <f>Reto1_Datos!B97</f>
        <v>Agosto</v>
      </c>
      <c r="C98" s="7" t="str">
        <f>Reto1_Datos!C97</f>
        <v>T3</v>
      </c>
      <c r="D98" s="7" t="str">
        <f>Reto1_Datos!D97</f>
        <v>Liberia</v>
      </c>
      <c r="E98" s="7" t="str">
        <f>Reto1_Datos!E97</f>
        <v>Karina Solis</v>
      </c>
      <c r="F98" s="11">
        <f>Reto1_Datos!L97</f>
        <v>44000</v>
      </c>
      <c r="G98" s="4" t="str">
        <f t="shared" si="2"/>
        <v>Basico</v>
      </c>
    </row>
    <row r="99" spans="1:8" ht="15" customHeight="1" x14ac:dyDescent="0.2">
      <c r="A99" s="12">
        <f>Reto1_Datos!A98</f>
        <v>81</v>
      </c>
      <c r="B99" s="7" t="str">
        <f>Reto1_Datos!B98</f>
        <v>Septiembre</v>
      </c>
      <c r="C99" s="7" t="str">
        <f>Reto1_Datos!C98</f>
        <v>T3</v>
      </c>
      <c r="D99" s="7" t="str">
        <f>Reto1_Datos!D98</f>
        <v>Central</v>
      </c>
      <c r="E99" s="7" t="str">
        <f>Reto1_Datos!E98</f>
        <v>Juan Mora</v>
      </c>
      <c r="F99" s="11">
        <f>Reto1_Datos!L98</f>
        <v>12800</v>
      </c>
      <c r="G99" s="4" t="str">
        <f t="shared" si="2"/>
        <v>Basico</v>
      </c>
    </row>
    <row r="100" spans="1:8" ht="15" customHeight="1" x14ac:dyDescent="0.2">
      <c r="A100" s="12">
        <f>Reto1_Datos!A99</f>
        <v>82</v>
      </c>
      <c r="B100" s="7" t="str">
        <f>Reto1_Datos!B99</f>
        <v>Octubre</v>
      </c>
      <c r="C100" s="7" t="str">
        <f>Reto1_Datos!C99</f>
        <v>T4</v>
      </c>
      <c r="D100" s="7" t="str">
        <f>Reto1_Datos!D99</f>
        <v>Cartago</v>
      </c>
      <c r="E100" s="7" t="str">
        <f>Reto1_Datos!E99</f>
        <v>Maria Jimenez</v>
      </c>
      <c r="F100" s="11">
        <f>Reto1_Datos!L99</f>
        <v>420000</v>
      </c>
      <c r="G100" s="4" t="str">
        <f t="shared" si="2"/>
        <v>Regular</v>
      </c>
    </row>
    <row r="101" spans="1:8" ht="15" customHeight="1" x14ac:dyDescent="0.2">
      <c r="A101" s="12">
        <f>Reto1_Datos!A100</f>
        <v>83</v>
      </c>
      <c r="B101" s="7" t="str">
        <f>Reto1_Datos!B100</f>
        <v>Noviembre</v>
      </c>
      <c r="C101" s="7" t="str">
        <f>Reto1_Datos!C100</f>
        <v>T4</v>
      </c>
      <c r="D101" s="7" t="str">
        <f>Reto1_Datos!D100</f>
        <v>Heredia</v>
      </c>
      <c r="E101" s="7" t="str">
        <f>Reto1_Datos!E100</f>
        <v>Pedro Quesada</v>
      </c>
      <c r="F101" s="11">
        <f>Reto1_Datos!L100</f>
        <v>1755000</v>
      </c>
      <c r="G101" s="4" t="str">
        <f t="shared" si="2"/>
        <v>Premium</v>
      </c>
    </row>
    <row r="102" spans="1:8" ht="15" customHeight="1" x14ac:dyDescent="0.2">
      <c r="A102" s="12">
        <f>Reto1_Datos!A101</f>
        <v>84</v>
      </c>
      <c r="B102" s="7" t="str">
        <f>Reto1_Datos!B101</f>
        <v>Diciembre</v>
      </c>
      <c r="C102" s="7" t="str">
        <f>Reto1_Datos!C101</f>
        <v>T4</v>
      </c>
      <c r="D102" s="7" t="str">
        <f>Reto1_Datos!D101</f>
        <v>Alajuela</v>
      </c>
      <c r="E102" s="7" t="str">
        <f>Reto1_Datos!E101</f>
        <v>Patricia Salas</v>
      </c>
      <c r="F102" s="11">
        <f>Reto1_Datos!L101</f>
        <v>19600</v>
      </c>
      <c r="G102" s="4" t="str">
        <f t="shared" si="2"/>
        <v>Basico</v>
      </c>
    </row>
    <row r="103" spans="1:8" ht="15" customHeight="1" x14ac:dyDescent="0.2">
      <c r="A103" s="12">
        <f>Reto1_Datos!A102</f>
        <v>85</v>
      </c>
      <c r="B103" s="7" t="str">
        <f>Reto1_Datos!B102</f>
        <v>Enero</v>
      </c>
      <c r="C103" s="7" t="str">
        <f>Reto1_Datos!C102</f>
        <v>T1</v>
      </c>
      <c r="D103" s="7" t="str">
        <f>Reto1_Datos!D102</f>
        <v>Liberia</v>
      </c>
      <c r="E103" s="7" t="str">
        <f>Reto1_Datos!E102</f>
        <v>Andres Mora</v>
      </c>
      <c r="F103" s="11">
        <f>Reto1_Datos!L102</f>
        <v>90000</v>
      </c>
      <c r="G103" s="4" t="str">
        <f t="shared" si="2"/>
        <v>Basico</v>
      </c>
    </row>
    <row r="104" spans="1:8" ht="15" customHeight="1" x14ac:dyDescent="0.2">
      <c r="A104" s="12">
        <f>Reto1_Datos!A103</f>
        <v>86</v>
      </c>
      <c r="B104" s="7" t="str">
        <f>Reto1_Datos!B103</f>
        <v>Febrero</v>
      </c>
      <c r="C104" s="7" t="str">
        <f>Reto1_Datos!C103</f>
        <v>T1</v>
      </c>
      <c r="D104" s="7" t="str">
        <f>Reto1_Datos!D103</f>
        <v>Central</v>
      </c>
      <c r="E104" s="7" t="str">
        <f>Reto1_Datos!E103</f>
        <v>Ana Vargas</v>
      </c>
      <c r="F104" s="11">
        <f>Reto1_Datos!L103</f>
        <v>255000</v>
      </c>
      <c r="G104" s="4" t="str">
        <f t="shared" si="2"/>
        <v>Regular</v>
      </c>
    </row>
    <row r="105" spans="1:8" ht="15" customHeight="1" x14ac:dyDescent="0.2">
      <c r="A105" s="12">
        <f>Reto1_Datos!A104</f>
        <v>87</v>
      </c>
      <c r="B105" s="7" t="str">
        <f>Reto1_Datos!B104</f>
        <v>Marzo</v>
      </c>
      <c r="C105" s="7" t="str">
        <f>Reto1_Datos!C104</f>
        <v>T1</v>
      </c>
      <c r="D105" s="7" t="str">
        <f>Reto1_Datos!D104</f>
        <v>Cartago</v>
      </c>
      <c r="E105" s="7" t="str">
        <f>Reto1_Datos!E104</f>
        <v>Sandra Vega</v>
      </c>
      <c r="F105" s="11">
        <f>Reto1_Datos!L104</f>
        <v>421400</v>
      </c>
      <c r="G105" s="4" t="str">
        <f t="shared" si="2"/>
        <v>Regular</v>
      </c>
    </row>
    <row r="106" spans="1:8" ht="15" customHeight="1" x14ac:dyDescent="0.2">
      <c r="A106" s="12">
        <f>Reto1_Datos!A105</f>
        <v>88</v>
      </c>
      <c r="B106" s="7" t="str">
        <f>Reto1_Datos!B105</f>
        <v>Abril</v>
      </c>
      <c r="C106" s="7" t="str">
        <f>Reto1_Datos!C105</f>
        <v>T2</v>
      </c>
      <c r="D106" s="7" t="str">
        <f>Reto1_Datos!D105</f>
        <v>Heredia</v>
      </c>
      <c r="E106" s="7" t="str">
        <f>Reto1_Datos!E105</f>
        <v>Diana Castro</v>
      </c>
      <c r="F106" s="11">
        <f>Reto1_Datos!L105</f>
        <v>143500</v>
      </c>
      <c r="G106" s="4" t="str">
        <f t="shared" si="2"/>
        <v>Basico</v>
      </c>
    </row>
    <row r="107" spans="1:8" ht="15" customHeight="1" x14ac:dyDescent="0.2">
      <c r="A107" s="12">
        <f>Reto1_Datos!A106</f>
        <v>89</v>
      </c>
      <c r="B107" s="7" t="str">
        <f>Reto1_Datos!B106</f>
        <v>Mayo</v>
      </c>
      <c r="C107" s="7" t="str">
        <f>Reto1_Datos!C106</f>
        <v>T2</v>
      </c>
      <c r="D107" s="7" t="str">
        <f>Reto1_Datos!D106</f>
        <v>Alajuela</v>
      </c>
      <c r="E107" s="7" t="str">
        <f>Reto1_Datos!E106</f>
        <v>Fabio Ulate</v>
      </c>
      <c r="F107" s="11">
        <f>Reto1_Datos!L106</f>
        <v>35150</v>
      </c>
      <c r="G107" s="4" t="str">
        <f t="shared" si="2"/>
        <v>Basico</v>
      </c>
    </row>
    <row r="108" spans="1:8" ht="15" customHeight="1" x14ac:dyDescent="0.2">
      <c r="A108" s="12">
        <f>Reto1_Datos!A107</f>
        <v>90</v>
      </c>
      <c r="B108" s="7" t="str">
        <f>Reto1_Datos!B107</f>
        <v>Junio</v>
      </c>
      <c r="C108" s="7" t="str">
        <f>Reto1_Datos!C107</f>
        <v>T2</v>
      </c>
      <c r="D108" s="7" t="str">
        <f>Reto1_Datos!D107</f>
        <v>Liberia</v>
      </c>
      <c r="E108" s="7" t="str">
        <f>Reto1_Datos!E107</f>
        <v>Karina Solis</v>
      </c>
      <c r="F108" s="11">
        <f>Reto1_Datos!L107</f>
        <v>6840</v>
      </c>
      <c r="G108" s="4" t="str">
        <f t="shared" si="2"/>
        <v>Basico</v>
      </c>
    </row>
    <row r="109" spans="1:8" ht="6" customHeight="1" x14ac:dyDescent="0.2"/>
    <row r="110" spans="1:8" ht="22" customHeight="1" x14ac:dyDescent="0.2">
      <c r="A110" s="52" t="s">
        <v>194</v>
      </c>
      <c r="B110" s="30"/>
      <c r="C110" s="30"/>
      <c r="D110" s="30"/>
      <c r="E110" s="30"/>
      <c r="F110" s="30"/>
      <c r="G110" s="30"/>
      <c r="H110" s="31"/>
    </row>
    <row r="111" spans="1:8" ht="22" customHeight="1" x14ac:dyDescent="0.2">
      <c r="A111" s="5" t="s">
        <v>122</v>
      </c>
      <c r="B111" s="6" t="s">
        <v>193</v>
      </c>
      <c r="C111" s="6" t="s">
        <v>195</v>
      </c>
      <c r="D111" s="6" t="s">
        <v>196</v>
      </c>
    </row>
    <row r="112" spans="1:8" ht="16" customHeight="1" x14ac:dyDescent="0.2">
      <c r="A112" s="3" t="s">
        <v>132</v>
      </c>
      <c r="B112" s="7" t="s">
        <v>197</v>
      </c>
      <c r="C112" s="14">
        <f>SUMIFS($F$19:$F$108,$D$19:$D$108,$A112,$G$19:$G$108,$B112)</f>
        <v>630000</v>
      </c>
      <c r="D112" s="14">
        <f>COUNTIFS($D$19:$D$108,$A112,$G$19:$G$108,$B112)</f>
        <v>1</v>
      </c>
    </row>
    <row r="113" spans="1:4" ht="16" customHeight="1" x14ac:dyDescent="0.2">
      <c r="A113" s="7" t="s">
        <v>132</v>
      </c>
      <c r="B113" s="7" t="s">
        <v>198</v>
      </c>
      <c r="C113" s="14">
        <f>SUMIFS($F$19:$F$108,$D$19:$D$108,$A113,$G$19:$G$108,$B113)</f>
        <v>1994500</v>
      </c>
      <c r="D113" s="14">
        <f>COUNTIFS($D$19:$D$108,$A113,$G$19:$G$108,$B113)</f>
        <v>5</v>
      </c>
    </row>
    <row r="114" spans="1:4" ht="16" customHeight="1" x14ac:dyDescent="0.2">
      <c r="A114" s="7" t="s">
        <v>132</v>
      </c>
      <c r="B114" s="7" t="s">
        <v>199</v>
      </c>
      <c r="C114" s="14">
        <f>SUMIFS($F$19:$F$108,$D$19:$D$108,$A114,$G$19:$G$108,$B114)</f>
        <v>722300</v>
      </c>
      <c r="D114" s="14">
        <f>COUNTIFS($D$19:$D$108,$A114,$G$19:$G$108,$B114)</f>
        <v>12</v>
      </c>
    </row>
    <row r="115" spans="1:4" ht="4" customHeight="1" x14ac:dyDescent="0.2"/>
    <row r="116" spans="1:4" ht="16" customHeight="1" x14ac:dyDescent="0.2">
      <c r="A116" s="3" t="s">
        <v>136</v>
      </c>
      <c r="B116" s="7" t="s">
        <v>197</v>
      </c>
      <c r="C116" s="14">
        <f>SUMIFS($F$19:$F$108,$D$19:$D$108,$A116,$G$19:$G$108,$B116)</f>
        <v>697500</v>
      </c>
      <c r="D116" s="14">
        <f>COUNTIFS($D$19:$D$108,$A116,$G$19:$G$108,$B116)</f>
        <v>1</v>
      </c>
    </row>
    <row r="117" spans="1:4" ht="16" customHeight="1" x14ac:dyDescent="0.2">
      <c r="A117" s="7" t="s">
        <v>136</v>
      </c>
      <c r="B117" s="7" t="s">
        <v>198</v>
      </c>
      <c r="C117" s="14">
        <f>SUMIFS($F$19:$F$108,$D$19:$D$108,$A117,$G$19:$G$108,$B117)</f>
        <v>2051400</v>
      </c>
      <c r="D117" s="14">
        <f>COUNTIFS($D$19:$D$108,$A117,$G$19:$G$108,$B117)</f>
        <v>5</v>
      </c>
    </row>
    <row r="118" spans="1:4" ht="16" customHeight="1" x14ac:dyDescent="0.2">
      <c r="A118" s="7" t="s">
        <v>136</v>
      </c>
      <c r="B118" s="7" t="s">
        <v>199</v>
      </c>
      <c r="C118" s="14">
        <f>SUMIFS($F$19:$F$108,$D$19:$D$108,$A118,$G$19:$G$108,$B118)</f>
        <v>1048300</v>
      </c>
      <c r="D118" s="14">
        <f>COUNTIFS($D$19:$D$108,$A118,$G$19:$G$108,$B118)</f>
        <v>12</v>
      </c>
    </row>
    <row r="119" spans="1:4" ht="4" customHeight="1" x14ac:dyDescent="0.2"/>
    <row r="120" spans="1:4" ht="16" customHeight="1" x14ac:dyDescent="0.2">
      <c r="A120" s="3" t="s">
        <v>139</v>
      </c>
      <c r="B120" s="7" t="s">
        <v>197</v>
      </c>
      <c r="C120" s="14">
        <f>SUMIFS($F$19:$F$108,$D$19:$D$108,$A120,$G$19:$G$108,$B120)</f>
        <v>9115000</v>
      </c>
      <c r="D120" s="14">
        <f>COUNTIFS($D$19:$D$108,$A120,$G$19:$G$108,$B120)</f>
        <v>5</v>
      </c>
    </row>
    <row r="121" spans="1:4" ht="16" customHeight="1" x14ac:dyDescent="0.2">
      <c r="A121" s="7" t="s">
        <v>139</v>
      </c>
      <c r="B121" s="7" t="s">
        <v>198</v>
      </c>
      <c r="C121" s="14">
        <f>SUMIFS($F$19:$F$108,$D$19:$D$108,$A121,$G$19:$G$108,$B121)</f>
        <v>1172200</v>
      </c>
      <c r="D121" s="14">
        <f>COUNTIFS($D$19:$D$108,$A121,$G$19:$G$108,$B121)</f>
        <v>4</v>
      </c>
    </row>
    <row r="122" spans="1:4" ht="16" customHeight="1" x14ac:dyDescent="0.2">
      <c r="A122" s="7" t="s">
        <v>139</v>
      </c>
      <c r="B122" s="7" t="s">
        <v>199</v>
      </c>
      <c r="C122" s="14">
        <f>SUMIFS($F$19:$F$108,$D$19:$D$108,$A122,$G$19:$G$108,$B122)</f>
        <v>916900</v>
      </c>
      <c r="D122" s="14">
        <f>COUNTIFS($D$19:$D$108,$A122,$G$19:$G$108,$B122)</f>
        <v>9</v>
      </c>
    </row>
    <row r="123" spans="1:4" ht="4" customHeight="1" x14ac:dyDescent="0.2"/>
    <row r="124" spans="1:4" ht="16" customHeight="1" x14ac:dyDescent="0.2">
      <c r="A124" s="3" t="s">
        <v>143</v>
      </c>
      <c r="B124" s="7" t="s">
        <v>197</v>
      </c>
      <c r="C124" s="14">
        <f>SUMIFS($F$19:$F$108,$D$19:$D$108,$A124,$G$19:$G$108,$B124)</f>
        <v>1520000</v>
      </c>
      <c r="D124" s="14">
        <f>COUNTIFS($D$19:$D$108,$A124,$G$19:$G$108,$B124)</f>
        <v>1</v>
      </c>
    </row>
    <row r="125" spans="1:4" ht="16" customHeight="1" x14ac:dyDescent="0.2">
      <c r="A125" s="7" t="s">
        <v>143</v>
      </c>
      <c r="B125" s="7" t="s">
        <v>198</v>
      </c>
      <c r="C125" s="14">
        <f>SUMIFS($F$19:$F$108,$D$19:$D$108,$A125,$G$19:$G$108,$B125)</f>
        <v>1450400</v>
      </c>
      <c r="D125" s="14">
        <f>COUNTIFS($D$19:$D$108,$A125,$G$19:$G$108,$B125)</f>
        <v>5</v>
      </c>
    </row>
    <row r="126" spans="1:4" ht="16" customHeight="1" x14ac:dyDescent="0.2">
      <c r="A126" s="7" t="s">
        <v>143</v>
      </c>
      <c r="B126" s="7" t="s">
        <v>199</v>
      </c>
      <c r="C126" s="14">
        <f>SUMIFS($F$19:$F$108,$D$19:$D$108,$A126,$G$19:$G$108,$B126)</f>
        <v>604100</v>
      </c>
      <c r="D126" s="14">
        <f>COUNTIFS($D$19:$D$108,$A126,$G$19:$G$108,$B126)</f>
        <v>12</v>
      </c>
    </row>
    <row r="127" spans="1:4" ht="4" customHeight="1" x14ac:dyDescent="0.2"/>
    <row r="128" spans="1:4" ht="16" customHeight="1" x14ac:dyDescent="0.2">
      <c r="A128" s="3" t="s">
        <v>147</v>
      </c>
      <c r="B128" s="7" t="s">
        <v>197</v>
      </c>
      <c r="C128" s="14">
        <f>SUMIFS($F$19:$F$108,$D$19:$D$108,$A128,$G$19:$G$108,$B128)</f>
        <v>0</v>
      </c>
      <c r="D128" s="14">
        <f>COUNTIFS($D$19:$D$108,$A128,$G$19:$G$108,$B128)</f>
        <v>0</v>
      </c>
    </row>
    <row r="129" spans="1:4" ht="16" customHeight="1" x14ac:dyDescent="0.2">
      <c r="A129" s="7" t="s">
        <v>147</v>
      </c>
      <c r="B129" s="7" t="s">
        <v>198</v>
      </c>
      <c r="C129" s="14">
        <f>SUMIFS($F$19:$F$108,$D$19:$D$108,$A129,$G$19:$G$108,$B129)</f>
        <v>323000</v>
      </c>
      <c r="D129" s="14">
        <f>COUNTIFS($D$19:$D$108,$A129,$G$19:$G$108,$B129)</f>
        <v>1</v>
      </c>
    </row>
    <row r="130" spans="1:4" ht="16" customHeight="1" x14ac:dyDescent="0.2">
      <c r="A130" s="7" t="s">
        <v>147</v>
      </c>
      <c r="B130" s="7" t="s">
        <v>199</v>
      </c>
      <c r="C130" s="14">
        <f>SUMIFS($F$19:$F$108,$D$19:$D$108,$A130,$G$19:$G$108,$B130)</f>
        <v>893700</v>
      </c>
      <c r="D130" s="14">
        <f>COUNTIFS($D$19:$D$108,$A130,$G$19:$G$108,$B130)</f>
        <v>17</v>
      </c>
    </row>
    <row r="131" spans="1:4" ht="4" customHeight="1" x14ac:dyDescent="0.2"/>
  </sheetData>
  <mergeCells count="12">
    <mergeCell ref="A4:H4"/>
    <mergeCell ref="A12:H12"/>
    <mergeCell ref="A1:H1"/>
    <mergeCell ref="A15:H15"/>
    <mergeCell ref="A2:H2"/>
    <mergeCell ref="A11:H11"/>
    <mergeCell ref="A5:H5"/>
    <mergeCell ref="A110:H110"/>
    <mergeCell ref="A8:H8"/>
    <mergeCell ref="A6:H6"/>
    <mergeCell ref="A17:H17"/>
    <mergeCell ref="A9:H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G25"/>
  <sheetViews>
    <sheetView workbookViewId="0">
      <selection activeCell="M18" sqref="M18"/>
    </sheetView>
  </sheetViews>
  <sheetFormatPr baseColWidth="10" defaultColWidth="8.83203125" defaultRowHeight="15" x14ac:dyDescent="0.2"/>
  <cols>
    <col min="1" max="1" width="22" customWidth="1"/>
    <col min="2" max="7" width="13" customWidth="1"/>
  </cols>
  <sheetData>
    <row r="1" spans="1:7" ht="32" customHeight="1" x14ac:dyDescent="0.2">
      <c r="A1" s="54" t="s">
        <v>200</v>
      </c>
      <c r="B1" s="30"/>
      <c r="C1" s="30"/>
      <c r="D1" s="30"/>
      <c r="E1" s="30"/>
      <c r="F1" s="30"/>
      <c r="G1" s="31"/>
    </row>
    <row r="2" spans="1:7" ht="44" customHeight="1" x14ac:dyDescent="0.2">
      <c r="A2" s="42" t="s">
        <v>201</v>
      </c>
      <c r="B2" s="30"/>
      <c r="C2" s="30"/>
      <c r="D2" s="30"/>
      <c r="E2" s="30"/>
      <c r="F2" s="30"/>
      <c r="G2" s="31"/>
    </row>
    <row r="3" spans="1:7" ht="6" customHeight="1" x14ac:dyDescent="0.2"/>
    <row r="4" spans="1:7" ht="22" customHeight="1" x14ac:dyDescent="0.2">
      <c r="A4" s="5" t="s">
        <v>122</v>
      </c>
      <c r="B4" s="6" t="s">
        <v>202</v>
      </c>
      <c r="C4" s="6" t="s">
        <v>203</v>
      </c>
      <c r="D4" s="6" t="s">
        <v>204</v>
      </c>
      <c r="E4" s="6" t="s">
        <v>205</v>
      </c>
      <c r="F4" s="6" t="s">
        <v>206</v>
      </c>
      <c r="G4" s="6" t="s">
        <v>207</v>
      </c>
    </row>
    <row r="5" spans="1:7" ht="18" customHeight="1" x14ac:dyDescent="0.2">
      <c r="A5" s="3" t="s">
        <v>132</v>
      </c>
      <c r="B5" s="14">
        <f>AVERAGEIFS(Reto1_Datos!$L$18:$L$107,Reto1_Datos!$D$18:$D$107,A5)</f>
        <v>185933.33333333334</v>
      </c>
      <c r="C5" s="14">
        <f t="array" ref="C5">MEDIAN(IF(Reto1_Datos!$D$18:$D$107=A5,Reto1_Datos!$L$18:$L$107))</f>
        <v>82000</v>
      </c>
      <c r="D5" s="14">
        <f>_xlfn.MAXIFS(Reto1_Datos!$L$18:$L$107,Reto1_Datos!$D$18:$D$107,A5)</f>
        <v>630000</v>
      </c>
      <c r="E5" s="14">
        <f>_xlfn.MINIFS(Reto1_Datos!$L$18:$L$107,Reto1_Datos!$D$18:$D$107,A5)</f>
        <v>7650</v>
      </c>
      <c r="F5" s="14">
        <f t="array" ref="F5">STDEV(IF(Reto1_Datos!$D$18:$D$107=A5,Reto1_Datos!$L$18:$L$107))</f>
        <v>199186.29692414321</v>
      </c>
      <c r="G5" s="14">
        <f>COUNTIF(Reto1_Datos!$D$18:$D$107,A5)</f>
        <v>18</v>
      </c>
    </row>
    <row r="6" spans="1:7" ht="18" customHeight="1" x14ac:dyDescent="0.2">
      <c r="A6" s="3" t="s">
        <v>136</v>
      </c>
      <c r="B6" s="14">
        <f>AVERAGEIFS(Reto1_Datos!$L$18:$L$107,Reto1_Datos!$D$18:$D$107,A6)</f>
        <v>210955.55555555556</v>
      </c>
      <c r="C6" s="14">
        <f t="array" ref="C6">MEDIAN(IF(Reto1_Datos!$D$18:$D$107=A6,Reto1_Datos!$L$18:$L$107))</f>
        <v>135750</v>
      </c>
      <c r="D6" s="14">
        <f>_xlfn.MAXIFS(Reto1_Datos!$L$18:$L$107,Reto1_Datos!$D$18:$D$107,A6)</f>
        <v>697500</v>
      </c>
      <c r="E6" s="14">
        <f>_xlfn.MINIFS(Reto1_Datos!$L$18:$L$107,Reto1_Datos!$D$18:$D$107,A6)</f>
        <v>16000</v>
      </c>
      <c r="F6" s="14">
        <f t="array" ref="F6">STDEV(IF(Reto1_Datos!$D$18:$D$107=A6,Reto1_Datos!$L$18:$L$107))</f>
        <v>197711.78138070586</v>
      </c>
      <c r="G6" s="14">
        <f>COUNTIF(Reto1_Datos!$D$18:$D$107,A6)</f>
        <v>18</v>
      </c>
    </row>
    <row r="7" spans="1:7" ht="18" customHeight="1" x14ac:dyDescent="0.2">
      <c r="A7" s="3" t="s">
        <v>139</v>
      </c>
      <c r="B7" s="14">
        <f>AVERAGEIFS(Reto1_Datos!$L$18:$L$107,Reto1_Datos!$D$18:$D$107,A7)</f>
        <v>622450</v>
      </c>
      <c r="C7" s="14">
        <f t="array" ref="C7">MEDIAN(IF(Reto1_Datos!$D$18:$D$107=A7,Reto1_Datos!$L$18:$L$107))</f>
        <v>198000</v>
      </c>
      <c r="D7" s="14">
        <f>_xlfn.MAXIFS(Reto1_Datos!$L$18:$L$107,Reto1_Datos!$D$18:$D$107,A7)</f>
        <v>2860000</v>
      </c>
      <c r="E7" s="14">
        <f>_xlfn.MINIFS(Reto1_Datos!$L$18:$L$107,Reto1_Datos!$D$18:$D$107,A7)</f>
        <v>24000</v>
      </c>
      <c r="F7" s="14">
        <f t="array" ref="F7">STDEV(IF(Reto1_Datos!$D$18:$D$107=A7,Reto1_Datos!$L$18:$L$107))</f>
        <v>854389.08015851746</v>
      </c>
      <c r="G7" s="14">
        <f>COUNTIF(Reto1_Datos!$D$18:$D$107,A7)</f>
        <v>18</v>
      </c>
    </row>
    <row r="8" spans="1:7" ht="18" customHeight="1" x14ac:dyDescent="0.2">
      <c r="A8" s="3" t="s">
        <v>143</v>
      </c>
      <c r="B8" s="14">
        <f>AVERAGEIFS(Reto1_Datos!$L$18:$L$107,Reto1_Datos!$D$18:$D$107,A8)</f>
        <v>198583.33333333334</v>
      </c>
      <c r="C8" s="14">
        <f t="array" ref="C8">MEDIAN(IF(Reto1_Datos!$D$18:$D$107=A8,Reto1_Datos!$L$18:$L$107))</f>
        <v>78900</v>
      </c>
      <c r="D8" s="14">
        <f>_xlfn.MAXIFS(Reto1_Datos!$L$18:$L$107,Reto1_Datos!$D$18:$D$107,A8)</f>
        <v>1520000</v>
      </c>
      <c r="E8" s="14">
        <f>_xlfn.MINIFS(Reto1_Datos!$L$18:$L$107,Reto1_Datos!$D$18:$D$107,A8)</f>
        <v>8400</v>
      </c>
      <c r="F8" s="14">
        <f t="array" ref="F8">STDEV(IF(Reto1_Datos!$D$18:$D$107=A8,Reto1_Datos!$L$18:$L$107))</f>
        <v>350489.15566004906</v>
      </c>
      <c r="G8" s="14">
        <f>COUNTIF(Reto1_Datos!$D$18:$D$107,A8)</f>
        <v>18</v>
      </c>
    </row>
    <row r="9" spans="1:7" ht="18" customHeight="1" x14ac:dyDescent="0.2">
      <c r="A9" s="3" t="s">
        <v>147</v>
      </c>
      <c r="B9" s="14">
        <f>AVERAGEIFS(Reto1_Datos!$L$18:$L$107,Reto1_Datos!$D$18:$D$107,A9)</f>
        <v>67594.444444444438</v>
      </c>
      <c r="C9" s="14">
        <f t="array" ref="C9">MEDIAN(IF(Reto1_Datos!$D$18:$D$107=A9,Reto1_Datos!$L$18:$L$107))</f>
        <v>46000</v>
      </c>
      <c r="D9" s="14">
        <f>_xlfn.MAXIFS(Reto1_Datos!$L$18:$L$107,Reto1_Datos!$D$18:$D$107,A9)</f>
        <v>323000</v>
      </c>
      <c r="E9" s="14">
        <f>_xlfn.MINIFS(Reto1_Datos!$L$18:$L$107,Reto1_Datos!$D$18:$D$107,A9)</f>
        <v>900</v>
      </c>
      <c r="F9" s="14">
        <f t="array" ref="F9">STDEV(IF(Reto1_Datos!$D$18:$D$107=A9,Reto1_Datos!$L$18:$L$107))</f>
        <v>80978.511181687049</v>
      </c>
      <c r="G9" s="14">
        <f>COUNTIF(Reto1_Datos!$D$18:$D$107,A9)</f>
        <v>18</v>
      </c>
    </row>
    <row r="10" spans="1:7" ht="6" customHeight="1" x14ac:dyDescent="0.2"/>
    <row r="11" spans="1:7" ht="220" customHeight="1" x14ac:dyDescent="0.2">
      <c r="A11" s="57" t="s">
        <v>208</v>
      </c>
      <c r="B11" s="58"/>
      <c r="C11" s="58"/>
      <c r="D11" s="58"/>
      <c r="E11" s="58"/>
      <c r="F11" s="58"/>
      <c r="G11" s="59"/>
    </row>
    <row r="12" spans="1:7" ht="6" customHeight="1" x14ac:dyDescent="0.2"/>
    <row r="13" spans="1:7" ht="22" customHeight="1" x14ac:dyDescent="0.2">
      <c r="A13" s="45" t="s">
        <v>209</v>
      </c>
      <c r="B13" s="30"/>
      <c r="C13" s="30"/>
      <c r="D13" s="30"/>
      <c r="E13" s="30"/>
      <c r="F13" s="30"/>
      <c r="G13" s="31"/>
    </row>
    <row r="14" spans="1:7" ht="32" customHeight="1" x14ac:dyDescent="0.2">
      <c r="A14" s="60" t="s">
        <v>210</v>
      </c>
      <c r="B14" s="39"/>
      <c r="C14" s="39"/>
      <c r="D14" s="39"/>
      <c r="E14" s="39"/>
      <c r="F14" s="39"/>
      <c r="G14" s="40"/>
    </row>
    <row r="15" spans="1:7" ht="77" customHeight="1" x14ac:dyDescent="0.2">
      <c r="A15" s="38" t="s">
        <v>336</v>
      </c>
      <c r="B15" s="39"/>
      <c r="C15" s="39"/>
      <c r="D15" s="39"/>
      <c r="E15" s="39"/>
      <c r="F15" s="39"/>
      <c r="G15" s="40"/>
    </row>
    <row r="16" spans="1:7" ht="6" customHeight="1" x14ac:dyDescent="0.2"/>
    <row r="17" spans="1:7" ht="32" customHeight="1" x14ac:dyDescent="0.2">
      <c r="A17" s="60" t="s">
        <v>211</v>
      </c>
      <c r="B17" s="39"/>
      <c r="C17" s="39"/>
      <c r="D17" s="39"/>
      <c r="E17" s="39"/>
      <c r="F17" s="39"/>
      <c r="G17" s="40"/>
    </row>
    <row r="18" spans="1:7" ht="158" customHeight="1" x14ac:dyDescent="0.2">
      <c r="A18" s="38" t="s">
        <v>212</v>
      </c>
      <c r="B18" s="39"/>
      <c r="C18" s="39"/>
      <c r="D18" s="39"/>
      <c r="E18" s="39"/>
      <c r="F18" s="39"/>
      <c r="G18" s="40"/>
    </row>
    <row r="19" spans="1:7" ht="6" customHeight="1" x14ac:dyDescent="0.2"/>
    <row r="20" spans="1:7" ht="32" customHeight="1" x14ac:dyDescent="0.2">
      <c r="A20" s="60" t="s">
        <v>213</v>
      </c>
      <c r="B20" s="39"/>
      <c r="C20" s="39"/>
      <c r="D20" s="39"/>
      <c r="E20" s="39"/>
      <c r="F20" s="39"/>
      <c r="G20" s="40"/>
    </row>
    <row r="21" spans="1:7" ht="88" customHeight="1" x14ac:dyDescent="0.2">
      <c r="A21" s="38" t="s">
        <v>337</v>
      </c>
      <c r="B21" s="39"/>
      <c r="C21" s="39"/>
      <c r="D21" s="39"/>
      <c r="E21" s="39"/>
      <c r="F21" s="39"/>
      <c r="G21" s="40"/>
    </row>
    <row r="22" spans="1:7" ht="6" customHeight="1" x14ac:dyDescent="0.2"/>
    <row r="23" spans="1:7" ht="32" customHeight="1" x14ac:dyDescent="0.2">
      <c r="A23" s="60" t="s">
        <v>214</v>
      </c>
      <c r="B23" s="39"/>
      <c r="C23" s="39"/>
      <c r="D23" s="39"/>
      <c r="E23" s="39"/>
      <c r="F23" s="39"/>
      <c r="G23" s="40"/>
    </row>
    <row r="24" spans="1:7" ht="113" customHeight="1" x14ac:dyDescent="0.2">
      <c r="A24" s="38" t="s">
        <v>338</v>
      </c>
      <c r="B24" s="39"/>
      <c r="C24" s="39"/>
      <c r="D24" s="39"/>
      <c r="E24" s="39"/>
      <c r="F24" s="39"/>
      <c r="G24" s="40"/>
    </row>
    <row r="25" spans="1:7" ht="6" customHeight="1" x14ac:dyDescent="0.2"/>
  </sheetData>
  <mergeCells count="12">
    <mergeCell ref="A1:G1"/>
    <mergeCell ref="A17:G17"/>
    <mergeCell ref="A18:G18"/>
    <mergeCell ref="A21:G21"/>
    <mergeCell ref="A20:G20"/>
    <mergeCell ref="A24:G24"/>
    <mergeCell ref="A2:G2"/>
    <mergeCell ref="A15:G15"/>
    <mergeCell ref="A11:G11"/>
    <mergeCell ref="A23:G23"/>
    <mergeCell ref="A13:G13"/>
    <mergeCell ref="A14:G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D111"/>
  <sheetViews>
    <sheetView topLeftCell="M1" zoomScale="75" workbookViewId="0">
      <selection activeCell="AC9" sqref="AC9:AC13"/>
    </sheetView>
  </sheetViews>
  <sheetFormatPr baseColWidth="10" defaultColWidth="8.83203125" defaultRowHeight="15" x14ac:dyDescent="0.2"/>
  <cols>
    <col min="1" max="1" width="6" customWidth="1"/>
    <col min="2" max="2" width="11" customWidth="1"/>
    <col min="3" max="3" width="6" customWidth="1"/>
    <col min="4" max="5" width="16" customWidth="1"/>
    <col min="6" max="6" width="20" customWidth="1"/>
    <col min="7" max="7" width="28" customWidth="1"/>
    <col min="8" max="8" width="8" customWidth="1"/>
    <col min="9" max="11" width="12" customWidth="1"/>
    <col min="18" max="18" width="12.33203125" bestFit="1" customWidth="1"/>
    <col min="19" max="19" width="15.5" bestFit="1" customWidth="1"/>
    <col min="20" max="20" width="12.83203125" bestFit="1" customWidth="1"/>
    <col min="21" max="21" width="15.5" bestFit="1" customWidth="1"/>
    <col min="22" max="22" width="12.83203125" bestFit="1" customWidth="1"/>
    <col min="23" max="23" width="15.5" bestFit="1" customWidth="1"/>
    <col min="24" max="24" width="12.83203125" bestFit="1" customWidth="1"/>
    <col min="25" max="25" width="15.5" bestFit="1" customWidth="1"/>
    <col min="26" max="26" width="12.83203125" bestFit="1" customWidth="1"/>
    <col min="27" max="27" width="15.5" bestFit="1" customWidth="1"/>
    <col min="28" max="28" width="12.83203125" bestFit="1" customWidth="1"/>
    <col min="29" max="29" width="19.83203125" bestFit="1" customWidth="1"/>
    <col min="30" max="30" width="17" bestFit="1" customWidth="1"/>
  </cols>
  <sheetData>
    <row r="1" spans="1:30" ht="32" customHeight="1" x14ac:dyDescent="0.2">
      <c r="A1" s="54" t="s">
        <v>215</v>
      </c>
      <c r="B1" s="30"/>
      <c r="C1" s="30"/>
      <c r="D1" s="30"/>
      <c r="E1" s="30"/>
      <c r="F1" s="30"/>
      <c r="G1" s="30"/>
      <c r="H1" s="30"/>
      <c r="I1" s="30"/>
      <c r="J1" s="30"/>
      <c r="K1" s="31"/>
      <c r="M1" s="21"/>
    </row>
    <row r="2" spans="1:30" ht="52" customHeight="1" x14ac:dyDescent="0.2">
      <c r="A2" s="42" t="s">
        <v>216</v>
      </c>
      <c r="B2" s="30"/>
      <c r="C2" s="30"/>
      <c r="D2" s="30"/>
      <c r="E2" s="30"/>
      <c r="F2" s="30"/>
      <c r="G2" s="30"/>
      <c r="H2" s="30"/>
      <c r="I2" s="30"/>
      <c r="J2" s="30"/>
      <c r="K2" s="31"/>
    </row>
    <row r="3" spans="1:30" ht="6" customHeight="1" x14ac:dyDescent="0.2">
      <c r="M3" s="22"/>
    </row>
    <row r="4" spans="1:30" ht="140" customHeight="1" x14ac:dyDescent="0.2">
      <c r="A4" s="57" t="s">
        <v>217</v>
      </c>
      <c r="B4" s="58"/>
      <c r="C4" s="58"/>
      <c r="D4" s="58"/>
      <c r="E4" s="58"/>
      <c r="F4" s="58"/>
      <c r="G4" s="58"/>
      <c r="H4" s="58"/>
      <c r="I4" s="58"/>
      <c r="J4" s="58"/>
      <c r="K4" s="59"/>
    </row>
    <row r="5" spans="1:30" ht="6" customHeight="1" x14ac:dyDescent="0.2"/>
    <row r="6" spans="1:30" ht="22" customHeight="1" x14ac:dyDescent="0.2">
      <c r="A6" s="6" t="s">
        <v>119</v>
      </c>
      <c r="B6" s="6" t="s">
        <v>120</v>
      </c>
      <c r="C6" s="6" t="s">
        <v>121</v>
      </c>
      <c r="D6" s="5" t="s">
        <v>122</v>
      </c>
      <c r="E6" s="5" t="s">
        <v>43</v>
      </c>
      <c r="F6" s="5" t="s">
        <v>123</v>
      </c>
      <c r="G6" s="5" t="s">
        <v>126</v>
      </c>
      <c r="H6" s="5" t="s">
        <v>127</v>
      </c>
      <c r="I6" s="5" t="s">
        <v>44</v>
      </c>
      <c r="J6" s="5" t="s">
        <v>128</v>
      </c>
      <c r="K6" s="5" t="s">
        <v>129</v>
      </c>
      <c r="R6" s="25"/>
      <c r="S6" s="26" t="s">
        <v>329</v>
      </c>
      <c r="T6" s="25"/>
      <c r="U6" s="25"/>
      <c r="V6" s="25"/>
      <c r="W6" s="25"/>
      <c r="X6" s="25"/>
      <c r="Y6" s="25"/>
      <c r="Z6" s="25"/>
      <c r="AA6" s="25"/>
      <c r="AB6" s="25"/>
      <c r="AC6" s="25"/>
      <c r="AD6" s="25"/>
    </row>
    <row r="7" spans="1:30" ht="15" customHeight="1" x14ac:dyDescent="0.2">
      <c r="A7" s="12">
        <v>1</v>
      </c>
      <c r="B7" s="7" t="s">
        <v>130</v>
      </c>
      <c r="C7" s="7" t="s">
        <v>131</v>
      </c>
      <c r="D7" s="7" t="s">
        <v>132</v>
      </c>
      <c r="E7" s="7" t="s">
        <v>48</v>
      </c>
      <c r="F7" s="7" t="s">
        <v>133</v>
      </c>
      <c r="G7" s="7" t="s">
        <v>47</v>
      </c>
      <c r="H7" s="13">
        <v>45</v>
      </c>
      <c r="I7" s="11">
        <v>898</v>
      </c>
      <c r="J7" s="11">
        <v>40410</v>
      </c>
      <c r="K7" s="11">
        <v>24210</v>
      </c>
      <c r="R7" s="25"/>
      <c r="S7" s="25" t="s">
        <v>48</v>
      </c>
      <c r="T7" s="25"/>
      <c r="U7" s="25" t="s">
        <v>87</v>
      </c>
      <c r="V7" s="25"/>
      <c r="W7" s="25" t="s">
        <v>74</v>
      </c>
      <c r="X7" s="25"/>
      <c r="Y7" s="25" t="s">
        <v>61</v>
      </c>
      <c r="Z7" s="25"/>
      <c r="AA7" s="25" t="s">
        <v>100</v>
      </c>
      <c r="AB7" s="25"/>
      <c r="AC7" s="25" t="s">
        <v>331</v>
      </c>
      <c r="AD7" s="25" t="s">
        <v>332</v>
      </c>
    </row>
    <row r="8" spans="1:30" ht="15" customHeight="1" x14ac:dyDescent="0.2">
      <c r="A8" s="15">
        <v>2</v>
      </c>
      <c r="B8" s="9" t="s">
        <v>135</v>
      </c>
      <c r="C8" s="9" t="s">
        <v>131</v>
      </c>
      <c r="D8" s="9" t="s">
        <v>136</v>
      </c>
      <c r="E8" s="9" t="s">
        <v>61</v>
      </c>
      <c r="F8" s="9" t="s">
        <v>137</v>
      </c>
      <c r="G8" s="9" t="s">
        <v>63</v>
      </c>
      <c r="H8" s="16">
        <v>11</v>
      </c>
      <c r="I8" s="10">
        <v>11423</v>
      </c>
      <c r="J8" s="10">
        <v>125653</v>
      </c>
      <c r="K8" s="10">
        <v>75383</v>
      </c>
      <c r="R8" s="26" t="s">
        <v>327</v>
      </c>
      <c r="S8" s="25" t="s">
        <v>330</v>
      </c>
      <c r="T8" s="25" t="s">
        <v>333</v>
      </c>
      <c r="U8" s="25" t="s">
        <v>330</v>
      </c>
      <c r="V8" s="25" t="s">
        <v>333</v>
      </c>
      <c r="W8" s="25" t="s">
        <v>330</v>
      </c>
      <c r="X8" s="25" t="s">
        <v>333</v>
      </c>
      <c r="Y8" s="25" t="s">
        <v>330</v>
      </c>
      <c r="Z8" s="25" t="s">
        <v>333</v>
      </c>
      <c r="AA8" s="25" t="s">
        <v>330</v>
      </c>
      <c r="AB8" s="25" t="s">
        <v>333</v>
      </c>
      <c r="AC8" s="25"/>
      <c r="AD8" s="25"/>
    </row>
    <row r="9" spans="1:30" ht="15" customHeight="1" x14ac:dyDescent="0.2">
      <c r="A9" s="12">
        <v>3</v>
      </c>
      <c r="B9" s="7" t="s">
        <v>138</v>
      </c>
      <c r="C9" s="7" t="s">
        <v>131</v>
      </c>
      <c r="D9" s="7" t="s">
        <v>139</v>
      </c>
      <c r="E9" s="7" t="s">
        <v>74</v>
      </c>
      <c r="F9" s="7" t="s">
        <v>140</v>
      </c>
      <c r="G9" s="7" t="s">
        <v>78</v>
      </c>
      <c r="H9" s="13">
        <v>42</v>
      </c>
      <c r="I9" s="11">
        <v>48144</v>
      </c>
      <c r="J9" s="11">
        <v>2022048</v>
      </c>
      <c r="K9" s="11">
        <v>1213212</v>
      </c>
      <c r="R9" s="27" t="s">
        <v>143</v>
      </c>
      <c r="S9" s="25"/>
      <c r="T9" s="25" t="s">
        <v>339</v>
      </c>
      <c r="U9" s="28">
        <v>3497247</v>
      </c>
      <c r="V9" s="25">
        <v>0.40004552152021289</v>
      </c>
      <c r="W9" s="25"/>
      <c r="X9" s="25" t="s">
        <v>339</v>
      </c>
      <c r="Y9" s="25"/>
      <c r="Z9" s="25" t="s">
        <v>339</v>
      </c>
      <c r="AA9" s="25"/>
      <c r="AB9" s="25" t="s">
        <v>339</v>
      </c>
      <c r="AC9" s="28">
        <v>3497247</v>
      </c>
      <c r="AD9" s="25">
        <v>0.40004552152021289</v>
      </c>
    </row>
    <row r="10" spans="1:30" ht="15" customHeight="1" x14ac:dyDescent="0.2">
      <c r="A10" s="15">
        <v>4</v>
      </c>
      <c r="B10" s="9" t="s">
        <v>141</v>
      </c>
      <c r="C10" s="9" t="s">
        <v>142</v>
      </c>
      <c r="D10" s="9" t="s">
        <v>143</v>
      </c>
      <c r="E10" s="9" t="s">
        <v>87</v>
      </c>
      <c r="F10" s="9" t="s">
        <v>144</v>
      </c>
      <c r="G10" s="9" t="s">
        <v>93</v>
      </c>
      <c r="H10" s="16">
        <v>8</v>
      </c>
      <c r="I10" s="10">
        <v>40828</v>
      </c>
      <c r="J10" s="10">
        <v>326624</v>
      </c>
      <c r="K10" s="10">
        <v>195968</v>
      </c>
      <c r="R10" s="27" t="s">
        <v>136</v>
      </c>
      <c r="S10" s="25"/>
      <c r="T10" s="25" t="s">
        <v>339</v>
      </c>
      <c r="U10" s="25"/>
      <c r="V10" s="25" t="s">
        <v>339</v>
      </c>
      <c r="W10" s="25"/>
      <c r="X10" s="25" t="s">
        <v>339</v>
      </c>
      <c r="Y10" s="28">
        <v>3808403</v>
      </c>
      <c r="Z10" s="25">
        <v>0.40003880891806881</v>
      </c>
      <c r="AA10" s="25"/>
      <c r="AB10" s="25" t="s">
        <v>339</v>
      </c>
      <c r="AC10" s="28">
        <v>3808403</v>
      </c>
      <c r="AD10" s="25">
        <v>0.40003880891806881</v>
      </c>
    </row>
    <row r="11" spans="1:30" ht="15" customHeight="1" x14ac:dyDescent="0.2">
      <c r="A11" s="12">
        <v>5</v>
      </c>
      <c r="B11" s="7" t="s">
        <v>146</v>
      </c>
      <c r="C11" s="7" t="s">
        <v>142</v>
      </c>
      <c r="D11" s="7" t="s">
        <v>147</v>
      </c>
      <c r="E11" s="7" t="s">
        <v>100</v>
      </c>
      <c r="F11" s="7" t="s">
        <v>148</v>
      </c>
      <c r="G11" s="7" t="s">
        <v>108</v>
      </c>
      <c r="H11" s="13">
        <v>38</v>
      </c>
      <c r="I11" s="11">
        <v>9189</v>
      </c>
      <c r="J11" s="11">
        <v>349182</v>
      </c>
      <c r="K11" s="11">
        <v>209494</v>
      </c>
      <c r="R11" s="27" t="s">
        <v>132</v>
      </c>
      <c r="S11" s="28">
        <v>3394020</v>
      </c>
      <c r="T11" s="25">
        <v>0.4000509720037006</v>
      </c>
      <c r="U11" s="25"/>
      <c r="V11" s="25" t="s">
        <v>339</v>
      </c>
      <c r="W11" s="25"/>
      <c r="X11" s="25" t="s">
        <v>339</v>
      </c>
      <c r="Y11" s="25"/>
      <c r="Z11" s="25" t="s">
        <v>339</v>
      </c>
      <c r="AA11" s="25"/>
      <c r="AB11" s="25" t="s">
        <v>339</v>
      </c>
      <c r="AC11" s="28">
        <v>3394020</v>
      </c>
      <c r="AD11" s="25">
        <v>0.4000509720037006</v>
      </c>
    </row>
    <row r="12" spans="1:30" ht="15" customHeight="1" x14ac:dyDescent="0.2">
      <c r="A12" s="15">
        <v>6</v>
      </c>
      <c r="B12" s="9" t="s">
        <v>149</v>
      </c>
      <c r="C12" s="9" t="s">
        <v>142</v>
      </c>
      <c r="D12" s="9" t="s">
        <v>132</v>
      </c>
      <c r="E12" s="9" t="s">
        <v>48</v>
      </c>
      <c r="F12" s="9" t="s">
        <v>150</v>
      </c>
      <c r="G12" s="9" t="s">
        <v>58</v>
      </c>
      <c r="H12" s="16">
        <v>3</v>
      </c>
      <c r="I12" s="10">
        <v>4420</v>
      </c>
      <c r="J12" s="10">
        <v>13260</v>
      </c>
      <c r="K12" s="10">
        <v>7956</v>
      </c>
      <c r="M12" s="23"/>
      <c r="R12" s="27" t="s">
        <v>139</v>
      </c>
      <c r="S12" s="25"/>
      <c r="T12" s="25" t="s">
        <v>339</v>
      </c>
      <c r="U12" s="25"/>
      <c r="V12" s="25" t="s">
        <v>339</v>
      </c>
      <c r="W12" s="28">
        <v>11357109</v>
      </c>
      <c r="X12" s="25">
        <v>0.40002169566216189</v>
      </c>
      <c r="Y12" s="25"/>
      <c r="Z12" s="25" t="s">
        <v>339</v>
      </c>
      <c r="AA12" s="25"/>
      <c r="AB12" s="25" t="s">
        <v>339</v>
      </c>
      <c r="AC12" s="28">
        <v>11357109</v>
      </c>
      <c r="AD12" s="25">
        <v>0.40002169566216189</v>
      </c>
    </row>
    <row r="13" spans="1:30" ht="15" customHeight="1" x14ac:dyDescent="0.2">
      <c r="A13" s="12">
        <v>7</v>
      </c>
      <c r="B13" s="7" t="s">
        <v>151</v>
      </c>
      <c r="C13" s="7" t="s">
        <v>152</v>
      </c>
      <c r="D13" s="7" t="s">
        <v>136</v>
      </c>
      <c r="E13" s="7" t="s">
        <v>61</v>
      </c>
      <c r="F13" s="7" t="s">
        <v>153</v>
      </c>
      <c r="G13" s="7" t="s">
        <v>60</v>
      </c>
      <c r="H13" s="13">
        <v>6</v>
      </c>
      <c r="I13" s="11">
        <v>14270</v>
      </c>
      <c r="J13" s="11">
        <v>85620</v>
      </c>
      <c r="K13" s="11">
        <v>51372</v>
      </c>
      <c r="R13" s="27" t="s">
        <v>147</v>
      </c>
      <c r="S13" s="25"/>
      <c r="T13" s="25" t="s">
        <v>339</v>
      </c>
      <c r="U13" s="25"/>
      <c r="V13" s="25" t="s">
        <v>339</v>
      </c>
      <c r="W13" s="25"/>
      <c r="X13" s="25" t="s">
        <v>339</v>
      </c>
      <c r="Y13" s="25"/>
      <c r="Z13" s="25" t="s">
        <v>339</v>
      </c>
      <c r="AA13" s="28">
        <v>1230944</v>
      </c>
      <c r="AB13" s="25">
        <v>0.40013030649647752</v>
      </c>
      <c r="AC13" s="28">
        <v>1230944</v>
      </c>
      <c r="AD13" s="25">
        <v>0.40013030649647752</v>
      </c>
    </row>
    <row r="14" spans="1:30" ht="15" customHeight="1" x14ac:dyDescent="0.2">
      <c r="A14" s="15">
        <v>8</v>
      </c>
      <c r="B14" s="9" t="s">
        <v>155</v>
      </c>
      <c r="C14" s="9" t="s">
        <v>152</v>
      </c>
      <c r="D14" s="9" t="s">
        <v>139</v>
      </c>
      <c r="E14" s="9" t="s">
        <v>74</v>
      </c>
      <c r="F14" s="9" t="s">
        <v>156</v>
      </c>
      <c r="G14" s="9" t="s">
        <v>76</v>
      </c>
      <c r="H14" s="16">
        <v>22</v>
      </c>
      <c r="I14" s="10">
        <v>11938</v>
      </c>
      <c r="J14" s="10">
        <v>262636</v>
      </c>
      <c r="K14" s="10">
        <v>157564</v>
      </c>
      <c r="N14" s="24"/>
      <c r="R14" s="27" t="s">
        <v>328</v>
      </c>
      <c r="S14" s="28">
        <v>3394020</v>
      </c>
      <c r="T14" s="25">
        <v>0.4000509720037006</v>
      </c>
      <c r="U14" s="28">
        <v>3497247</v>
      </c>
      <c r="V14" s="25">
        <v>0.40004552152021289</v>
      </c>
      <c r="W14" s="28">
        <v>11357109</v>
      </c>
      <c r="X14" s="25">
        <v>0.40002169566216189</v>
      </c>
      <c r="Y14" s="28">
        <v>3808403</v>
      </c>
      <c r="Z14" s="25">
        <v>0.40003880891806881</v>
      </c>
      <c r="AA14" s="28">
        <v>1230944</v>
      </c>
      <c r="AB14" s="25">
        <v>0.40013030649647752</v>
      </c>
      <c r="AC14" s="28">
        <v>23287723</v>
      </c>
      <c r="AD14" s="25">
        <v>0.40003808015064418</v>
      </c>
    </row>
    <row r="15" spans="1:30" ht="15" customHeight="1" x14ac:dyDescent="0.2">
      <c r="A15" s="12">
        <v>9</v>
      </c>
      <c r="B15" s="7" t="s">
        <v>158</v>
      </c>
      <c r="C15" s="7" t="s">
        <v>152</v>
      </c>
      <c r="D15" s="7" t="s">
        <v>143</v>
      </c>
      <c r="E15" s="7" t="s">
        <v>87</v>
      </c>
      <c r="F15" s="7" t="s">
        <v>159</v>
      </c>
      <c r="G15" s="7" t="s">
        <v>91</v>
      </c>
      <c r="H15" s="13">
        <v>39</v>
      </c>
      <c r="I15" s="11">
        <v>7721</v>
      </c>
      <c r="J15" s="11">
        <v>301119</v>
      </c>
      <c r="K15" s="11">
        <v>180648</v>
      </c>
      <c r="N15" s="24"/>
    </row>
    <row r="16" spans="1:30" ht="15" customHeight="1" x14ac:dyDescent="0.2">
      <c r="A16" s="15">
        <v>10</v>
      </c>
      <c r="B16" s="9" t="s">
        <v>160</v>
      </c>
      <c r="C16" s="9" t="s">
        <v>161</v>
      </c>
      <c r="D16" s="9" t="s">
        <v>147</v>
      </c>
      <c r="E16" s="9" t="s">
        <v>100</v>
      </c>
      <c r="F16" s="9" t="s">
        <v>162</v>
      </c>
      <c r="G16" s="9" t="s">
        <v>106</v>
      </c>
      <c r="H16" s="16">
        <v>15</v>
      </c>
      <c r="I16" s="10">
        <v>3007</v>
      </c>
      <c r="J16" s="10">
        <v>45105</v>
      </c>
      <c r="K16" s="10">
        <v>27060</v>
      </c>
      <c r="N16" s="24"/>
    </row>
    <row r="17" spans="1:18" ht="15" customHeight="1" x14ac:dyDescent="0.2">
      <c r="A17" s="12">
        <v>11</v>
      </c>
      <c r="B17" s="7" t="s">
        <v>164</v>
      </c>
      <c r="C17" s="7" t="s">
        <v>161</v>
      </c>
      <c r="D17" s="7" t="s">
        <v>132</v>
      </c>
      <c r="E17" s="7" t="s">
        <v>48</v>
      </c>
      <c r="F17" s="7" t="s">
        <v>165</v>
      </c>
      <c r="G17" s="7" t="s">
        <v>56</v>
      </c>
      <c r="H17" s="13">
        <v>42</v>
      </c>
      <c r="I17" s="11">
        <v>16225</v>
      </c>
      <c r="J17" s="11">
        <v>681450</v>
      </c>
      <c r="K17" s="11">
        <v>408870</v>
      </c>
      <c r="N17" s="24"/>
    </row>
    <row r="18" spans="1:18" ht="15" customHeight="1" x14ac:dyDescent="0.2">
      <c r="A18" s="15">
        <v>12</v>
      </c>
      <c r="B18" s="9" t="s">
        <v>166</v>
      </c>
      <c r="C18" s="9" t="s">
        <v>161</v>
      </c>
      <c r="D18" s="9" t="s">
        <v>136</v>
      </c>
      <c r="E18" s="9" t="s">
        <v>61</v>
      </c>
      <c r="F18" s="9" t="s">
        <v>167</v>
      </c>
      <c r="G18" s="9" t="s">
        <v>71</v>
      </c>
      <c r="H18" s="16">
        <v>23</v>
      </c>
      <c r="I18" s="10">
        <v>3090</v>
      </c>
      <c r="J18" s="10">
        <v>71070</v>
      </c>
      <c r="K18" s="10">
        <v>42642</v>
      </c>
      <c r="N18" s="24"/>
    </row>
    <row r="19" spans="1:18" ht="15" customHeight="1" x14ac:dyDescent="0.2">
      <c r="A19" s="12">
        <v>13</v>
      </c>
      <c r="B19" s="7" t="s">
        <v>130</v>
      </c>
      <c r="C19" s="7" t="s">
        <v>131</v>
      </c>
      <c r="D19" s="7" t="s">
        <v>139</v>
      </c>
      <c r="E19" s="7" t="s">
        <v>74</v>
      </c>
      <c r="F19" s="7" t="s">
        <v>168</v>
      </c>
      <c r="G19" s="7" t="s">
        <v>73</v>
      </c>
      <c r="H19" s="13">
        <v>7</v>
      </c>
      <c r="I19" s="11">
        <v>8717</v>
      </c>
      <c r="J19" s="11">
        <v>61019</v>
      </c>
      <c r="K19" s="11">
        <v>36610</v>
      </c>
    </row>
    <row r="20" spans="1:18" ht="15" customHeight="1" x14ac:dyDescent="0.2">
      <c r="A20" s="15">
        <v>14</v>
      </c>
      <c r="B20" s="9" t="s">
        <v>135</v>
      </c>
      <c r="C20" s="9" t="s">
        <v>131</v>
      </c>
      <c r="D20" s="9" t="s">
        <v>143</v>
      </c>
      <c r="E20" s="9" t="s">
        <v>87</v>
      </c>
      <c r="F20" s="9" t="s">
        <v>170</v>
      </c>
      <c r="G20" s="9" t="s">
        <v>89</v>
      </c>
      <c r="H20" s="16">
        <v>33</v>
      </c>
      <c r="I20" s="10">
        <v>4120</v>
      </c>
      <c r="J20" s="10">
        <v>135960</v>
      </c>
      <c r="K20" s="10">
        <v>81576</v>
      </c>
    </row>
    <row r="21" spans="1:18" ht="15" customHeight="1" x14ac:dyDescent="0.2">
      <c r="A21" s="12">
        <v>15</v>
      </c>
      <c r="B21" s="7" t="s">
        <v>138</v>
      </c>
      <c r="C21" s="7" t="s">
        <v>131</v>
      </c>
      <c r="D21" s="7" t="s">
        <v>147</v>
      </c>
      <c r="E21" s="7" t="s">
        <v>100</v>
      </c>
      <c r="F21" s="7" t="s">
        <v>148</v>
      </c>
      <c r="G21" s="7" t="s">
        <v>104</v>
      </c>
      <c r="H21" s="13">
        <v>15</v>
      </c>
      <c r="I21" s="11">
        <v>456</v>
      </c>
      <c r="J21" s="11">
        <v>6840</v>
      </c>
      <c r="K21" s="11">
        <v>4095</v>
      </c>
    </row>
    <row r="22" spans="1:18" ht="15" customHeight="1" x14ac:dyDescent="0.2">
      <c r="A22" s="15">
        <v>16</v>
      </c>
      <c r="B22" s="9" t="s">
        <v>141</v>
      </c>
      <c r="C22" s="9" t="s">
        <v>142</v>
      </c>
      <c r="D22" s="9" t="s">
        <v>132</v>
      </c>
      <c r="E22" s="9" t="s">
        <v>48</v>
      </c>
      <c r="F22" s="9" t="s">
        <v>172</v>
      </c>
      <c r="G22" s="9" t="s">
        <v>54</v>
      </c>
      <c r="H22" s="16">
        <v>4</v>
      </c>
      <c r="I22" s="10">
        <v>11284</v>
      </c>
      <c r="J22" s="10">
        <v>45136</v>
      </c>
      <c r="K22" s="10">
        <v>27080</v>
      </c>
    </row>
    <row r="23" spans="1:18" ht="15" customHeight="1" x14ac:dyDescent="0.2">
      <c r="A23" s="12">
        <v>17</v>
      </c>
      <c r="B23" s="7" t="s">
        <v>146</v>
      </c>
      <c r="C23" s="7" t="s">
        <v>142</v>
      </c>
      <c r="D23" s="7" t="s">
        <v>136</v>
      </c>
      <c r="E23" s="7" t="s">
        <v>61</v>
      </c>
      <c r="F23" s="7" t="s">
        <v>137</v>
      </c>
      <c r="G23" s="7" t="s">
        <v>69</v>
      </c>
      <c r="H23" s="13">
        <v>7</v>
      </c>
      <c r="I23" s="11">
        <v>4221</v>
      </c>
      <c r="J23" s="11">
        <v>29547</v>
      </c>
      <c r="K23" s="11">
        <v>17724</v>
      </c>
    </row>
    <row r="24" spans="1:18" ht="15" customHeight="1" x14ac:dyDescent="0.2">
      <c r="A24" s="15">
        <v>18</v>
      </c>
      <c r="B24" s="9" t="s">
        <v>149</v>
      </c>
      <c r="C24" s="9" t="s">
        <v>142</v>
      </c>
      <c r="D24" s="9" t="s">
        <v>139</v>
      </c>
      <c r="E24" s="9" t="s">
        <v>74</v>
      </c>
      <c r="F24" s="9" t="s">
        <v>140</v>
      </c>
      <c r="G24" s="9" t="s">
        <v>84</v>
      </c>
      <c r="H24" s="16">
        <v>20</v>
      </c>
      <c r="I24" s="10">
        <v>7495</v>
      </c>
      <c r="J24" s="10">
        <v>149900</v>
      </c>
      <c r="K24" s="10">
        <v>89940</v>
      </c>
    </row>
    <row r="25" spans="1:18" ht="15" customHeight="1" x14ac:dyDescent="0.2">
      <c r="A25" s="12">
        <v>19</v>
      </c>
      <c r="B25" s="7" t="s">
        <v>151</v>
      </c>
      <c r="C25" s="7" t="s">
        <v>152</v>
      </c>
      <c r="D25" s="7" t="s">
        <v>143</v>
      </c>
      <c r="E25" s="7" t="s">
        <v>87</v>
      </c>
      <c r="F25" s="7" t="s">
        <v>144</v>
      </c>
      <c r="G25" s="7" t="s">
        <v>86</v>
      </c>
      <c r="H25" s="13">
        <v>18</v>
      </c>
      <c r="I25" s="11">
        <v>792</v>
      </c>
      <c r="J25" s="11">
        <v>14256</v>
      </c>
      <c r="K25" s="11">
        <v>8550</v>
      </c>
    </row>
    <row r="26" spans="1:18" ht="15" customHeight="1" x14ac:dyDescent="0.2">
      <c r="A26" s="15">
        <v>20</v>
      </c>
      <c r="B26" s="9" t="s">
        <v>155</v>
      </c>
      <c r="C26" s="9" t="s">
        <v>152</v>
      </c>
      <c r="D26" s="9" t="s">
        <v>147</v>
      </c>
      <c r="E26" s="9" t="s">
        <v>100</v>
      </c>
      <c r="F26" s="9" t="s">
        <v>162</v>
      </c>
      <c r="G26" s="9" t="s">
        <v>102</v>
      </c>
      <c r="H26" s="16">
        <v>9</v>
      </c>
      <c r="I26" s="10">
        <v>5946</v>
      </c>
      <c r="J26" s="10">
        <v>53514</v>
      </c>
      <c r="K26" s="10">
        <v>32103</v>
      </c>
    </row>
    <row r="27" spans="1:18" ht="15" customHeight="1" x14ac:dyDescent="0.2">
      <c r="A27" s="12">
        <v>21</v>
      </c>
      <c r="B27" s="7" t="s">
        <v>158</v>
      </c>
      <c r="C27" s="7" t="s">
        <v>152</v>
      </c>
      <c r="D27" s="7" t="s">
        <v>132</v>
      </c>
      <c r="E27" s="7" t="s">
        <v>48</v>
      </c>
      <c r="F27" s="7" t="s">
        <v>133</v>
      </c>
      <c r="G27" s="7" t="s">
        <v>52</v>
      </c>
      <c r="H27" s="13">
        <v>19</v>
      </c>
      <c r="I27" s="11">
        <v>3331</v>
      </c>
      <c r="J27" s="11">
        <v>63289</v>
      </c>
      <c r="K27" s="11">
        <v>37962</v>
      </c>
    </row>
    <row r="28" spans="1:18" ht="15" customHeight="1" x14ac:dyDescent="0.2">
      <c r="A28" s="15">
        <v>22</v>
      </c>
      <c r="B28" s="9" t="s">
        <v>160</v>
      </c>
      <c r="C28" s="9" t="s">
        <v>161</v>
      </c>
      <c r="D28" s="9" t="s">
        <v>136</v>
      </c>
      <c r="E28" s="9" t="s">
        <v>61</v>
      </c>
      <c r="F28" s="9" t="s">
        <v>153</v>
      </c>
      <c r="G28" s="9" t="s">
        <v>67</v>
      </c>
      <c r="H28" s="16">
        <v>16</v>
      </c>
      <c r="I28" s="10">
        <v>28414</v>
      </c>
      <c r="J28" s="10">
        <v>454624</v>
      </c>
      <c r="K28" s="10">
        <v>272768</v>
      </c>
    </row>
    <row r="29" spans="1:18" ht="15" customHeight="1" x14ac:dyDescent="0.2">
      <c r="A29" s="12">
        <v>23</v>
      </c>
      <c r="B29" s="7" t="s">
        <v>164</v>
      </c>
      <c r="C29" s="7" t="s">
        <v>161</v>
      </c>
      <c r="D29" s="7" t="s">
        <v>139</v>
      </c>
      <c r="E29" s="7" t="s">
        <v>74</v>
      </c>
      <c r="F29" s="7" t="s">
        <v>156</v>
      </c>
      <c r="G29" s="7" t="s">
        <v>82</v>
      </c>
      <c r="H29" s="13">
        <v>5</v>
      </c>
      <c r="I29" s="11">
        <v>58668</v>
      </c>
      <c r="J29" s="11">
        <v>293340</v>
      </c>
      <c r="K29" s="11">
        <v>176000</v>
      </c>
    </row>
    <row r="30" spans="1:18" ht="15" customHeight="1" x14ac:dyDescent="0.2">
      <c r="A30" s="15">
        <v>24</v>
      </c>
      <c r="B30" s="9" t="s">
        <v>166</v>
      </c>
      <c r="C30" s="9" t="s">
        <v>161</v>
      </c>
      <c r="D30" s="9" t="s">
        <v>143</v>
      </c>
      <c r="E30" s="9" t="s">
        <v>87</v>
      </c>
      <c r="F30" s="9" t="s">
        <v>159</v>
      </c>
      <c r="G30" s="9" t="s">
        <v>97</v>
      </c>
      <c r="H30" s="16">
        <v>43</v>
      </c>
      <c r="I30" s="10">
        <v>2865</v>
      </c>
      <c r="J30" s="10">
        <v>123195</v>
      </c>
      <c r="K30" s="10">
        <v>73917</v>
      </c>
    </row>
    <row r="31" spans="1:18" ht="15" customHeight="1" x14ac:dyDescent="0.2">
      <c r="A31" s="12">
        <v>25</v>
      </c>
      <c r="B31" s="7" t="s">
        <v>130</v>
      </c>
      <c r="C31" s="7" t="s">
        <v>131</v>
      </c>
      <c r="D31" s="7" t="s">
        <v>147</v>
      </c>
      <c r="E31" s="7" t="s">
        <v>100</v>
      </c>
      <c r="F31" s="7" t="s">
        <v>148</v>
      </c>
      <c r="G31" s="7" t="s">
        <v>99</v>
      </c>
      <c r="H31" s="13">
        <v>19</v>
      </c>
      <c r="I31" s="11">
        <v>3338</v>
      </c>
      <c r="J31" s="11">
        <v>63422</v>
      </c>
      <c r="K31" s="11">
        <v>38038</v>
      </c>
      <c r="R31" t="s">
        <v>340</v>
      </c>
    </row>
    <row r="32" spans="1:18" ht="15" customHeight="1" x14ac:dyDescent="0.2">
      <c r="A32" s="15">
        <v>26</v>
      </c>
      <c r="B32" s="9" t="s">
        <v>135</v>
      </c>
      <c r="C32" s="9" t="s">
        <v>131</v>
      </c>
      <c r="D32" s="9" t="s">
        <v>132</v>
      </c>
      <c r="E32" s="9" t="s">
        <v>48</v>
      </c>
      <c r="F32" s="9" t="s">
        <v>150</v>
      </c>
      <c r="G32" s="9" t="s">
        <v>50</v>
      </c>
      <c r="H32" s="16">
        <v>43</v>
      </c>
      <c r="I32" s="10">
        <v>8220</v>
      </c>
      <c r="J32" s="10">
        <v>353460</v>
      </c>
      <c r="K32" s="10">
        <v>212076</v>
      </c>
    </row>
    <row r="33" spans="1:11" ht="15" customHeight="1" x14ac:dyDescent="0.2">
      <c r="A33" s="12">
        <v>27</v>
      </c>
      <c r="B33" s="7" t="s">
        <v>138</v>
      </c>
      <c r="C33" s="7" t="s">
        <v>131</v>
      </c>
      <c r="D33" s="7" t="s">
        <v>136</v>
      </c>
      <c r="E33" s="7" t="s">
        <v>61</v>
      </c>
      <c r="F33" s="7" t="s">
        <v>167</v>
      </c>
      <c r="G33" s="7" t="s">
        <v>65</v>
      </c>
      <c r="H33" s="13">
        <v>30</v>
      </c>
      <c r="I33" s="11">
        <v>10596</v>
      </c>
      <c r="J33" s="11">
        <v>317880</v>
      </c>
      <c r="K33" s="11">
        <v>190710</v>
      </c>
    </row>
    <row r="34" spans="1:11" ht="15" customHeight="1" x14ac:dyDescent="0.2">
      <c r="A34" s="15">
        <v>28</v>
      </c>
      <c r="B34" s="9" t="s">
        <v>141</v>
      </c>
      <c r="C34" s="9" t="s">
        <v>142</v>
      </c>
      <c r="D34" s="9" t="s">
        <v>139</v>
      </c>
      <c r="E34" s="9" t="s">
        <v>74</v>
      </c>
      <c r="F34" s="9" t="s">
        <v>168</v>
      </c>
      <c r="G34" s="9" t="s">
        <v>80</v>
      </c>
      <c r="H34" s="16">
        <v>42</v>
      </c>
      <c r="I34" s="10">
        <v>3341</v>
      </c>
      <c r="J34" s="10">
        <v>140322</v>
      </c>
      <c r="K34" s="10">
        <v>84168</v>
      </c>
    </row>
    <row r="35" spans="1:11" ht="15" customHeight="1" x14ac:dyDescent="0.2">
      <c r="A35" s="12">
        <v>29</v>
      </c>
      <c r="B35" s="7" t="s">
        <v>146</v>
      </c>
      <c r="C35" s="7" t="s">
        <v>142</v>
      </c>
      <c r="D35" s="7" t="s">
        <v>143</v>
      </c>
      <c r="E35" s="7" t="s">
        <v>87</v>
      </c>
      <c r="F35" s="7" t="s">
        <v>170</v>
      </c>
      <c r="G35" s="7" t="s">
        <v>95</v>
      </c>
      <c r="H35" s="13">
        <v>29</v>
      </c>
      <c r="I35" s="11">
        <v>884</v>
      </c>
      <c r="J35" s="11">
        <v>25636</v>
      </c>
      <c r="K35" s="11">
        <v>15370</v>
      </c>
    </row>
    <row r="36" spans="1:11" ht="15" customHeight="1" x14ac:dyDescent="0.2">
      <c r="A36" s="15">
        <v>30</v>
      </c>
      <c r="B36" s="9" t="s">
        <v>149</v>
      </c>
      <c r="C36" s="9" t="s">
        <v>142</v>
      </c>
      <c r="D36" s="9" t="s">
        <v>147</v>
      </c>
      <c r="E36" s="9" t="s">
        <v>100</v>
      </c>
      <c r="F36" s="9" t="s">
        <v>162</v>
      </c>
      <c r="G36" s="9" t="s">
        <v>110</v>
      </c>
      <c r="H36" s="16">
        <v>27</v>
      </c>
      <c r="I36" s="10">
        <v>412</v>
      </c>
      <c r="J36" s="10">
        <v>11124</v>
      </c>
      <c r="K36" s="10">
        <v>6669</v>
      </c>
    </row>
    <row r="37" spans="1:11" ht="15" customHeight="1" x14ac:dyDescent="0.2">
      <c r="A37" s="12">
        <v>31</v>
      </c>
      <c r="B37" s="7" t="s">
        <v>151</v>
      </c>
      <c r="C37" s="7" t="s">
        <v>152</v>
      </c>
      <c r="D37" s="7" t="s">
        <v>132</v>
      </c>
      <c r="E37" s="7" t="s">
        <v>48</v>
      </c>
      <c r="F37" s="7" t="s">
        <v>165</v>
      </c>
      <c r="G37" s="7" t="s">
        <v>47</v>
      </c>
      <c r="H37" s="13">
        <v>9</v>
      </c>
      <c r="I37" s="11">
        <v>882</v>
      </c>
      <c r="J37" s="11">
        <v>7938</v>
      </c>
      <c r="K37" s="11">
        <v>4761</v>
      </c>
    </row>
    <row r="38" spans="1:11" ht="15" customHeight="1" x14ac:dyDescent="0.2">
      <c r="A38" s="15">
        <v>32</v>
      </c>
      <c r="B38" s="9" t="s">
        <v>155</v>
      </c>
      <c r="C38" s="9" t="s">
        <v>152</v>
      </c>
      <c r="D38" s="9" t="s">
        <v>136</v>
      </c>
      <c r="E38" s="9" t="s">
        <v>61</v>
      </c>
      <c r="F38" s="9" t="s">
        <v>137</v>
      </c>
      <c r="G38" s="9" t="s">
        <v>63</v>
      </c>
      <c r="H38" s="16">
        <v>39</v>
      </c>
      <c r="I38" s="10">
        <v>11828</v>
      </c>
      <c r="J38" s="10">
        <v>461292</v>
      </c>
      <c r="K38" s="10">
        <v>276744</v>
      </c>
    </row>
    <row r="39" spans="1:11" ht="15" customHeight="1" x14ac:dyDescent="0.2">
      <c r="A39" s="12">
        <v>33</v>
      </c>
      <c r="B39" s="7" t="s">
        <v>158</v>
      </c>
      <c r="C39" s="7" t="s">
        <v>152</v>
      </c>
      <c r="D39" s="7" t="s">
        <v>139</v>
      </c>
      <c r="E39" s="7" t="s">
        <v>74</v>
      </c>
      <c r="F39" s="7" t="s">
        <v>140</v>
      </c>
      <c r="G39" s="7" t="s">
        <v>78</v>
      </c>
      <c r="H39" s="13">
        <v>16</v>
      </c>
      <c r="I39" s="11">
        <v>41547</v>
      </c>
      <c r="J39" s="11">
        <v>664752</v>
      </c>
      <c r="K39" s="11">
        <v>398848</v>
      </c>
    </row>
    <row r="40" spans="1:11" ht="15" customHeight="1" x14ac:dyDescent="0.2">
      <c r="A40" s="15">
        <v>34</v>
      </c>
      <c r="B40" s="9" t="s">
        <v>160</v>
      </c>
      <c r="C40" s="9" t="s">
        <v>161</v>
      </c>
      <c r="D40" s="9" t="s">
        <v>143</v>
      </c>
      <c r="E40" s="9" t="s">
        <v>87</v>
      </c>
      <c r="F40" s="9" t="s">
        <v>144</v>
      </c>
      <c r="G40" s="9" t="s">
        <v>93</v>
      </c>
      <c r="H40" s="16">
        <v>40</v>
      </c>
      <c r="I40" s="10">
        <v>34593</v>
      </c>
      <c r="J40" s="10">
        <v>1383720</v>
      </c>
      <c r="K40" s="10">
        <v>830200</v>
      </c>
    </row>
    <row r="41" spans="1:11" ht="15" customHeight="1" x14ac:dyDescent="0.2">
      <c r="A41" s="12">
        <v>35</v>
      </c>
      <c r="B41" s="7" t="s">
        <v>164</v>
      </c>
      <c r="C41" s="7" t="s">
        <v>161</v>
      </c>
      <c r="D41" s="7" t="s">
        <v>147</v>
      </c>
      <c r="E41" s="7" t="s">
        <v>100</v>
      </c>
      <c r="F41" s="7" t="s">
        <v>148</v>
      </c>
      <c r="G41" s="7" t="s">
        <v>108</v>
      </c>
      <c r="H41" s="13">
        <v>14</v>
      </c>
      <c r="I41" s="11">
        <v>8391</v>
      </c>
      <c r="J41" s="11">
        <v>117474</v>
      </c>
      <c r="K41" s="11">
        <v>70476</v>
      </c>
    </row>
    <row r="42" spans="1:11" ht="15" customHeight="1" x14ac:dyDescent="0.2">
      <c r="A42" s="15">
        <v>36</v>
      </c>
      <c r="B42" s="9" t="s">
        <v>166</v>
      </c>
      <c r="C42" s="9" t="s">
        <v>161</v>
      </c>
      <c r="D42" s="9" t="s">
        <v>132</v>
      </c>
      <c r="E42" s="9" t="s">
        <v>48</v>
      </c>
      <c r="F42" s="9" t="s">
        <v>172</v>
      </c>
      <c r="G42" s="9" t="s">
        <v>58</v>
      </c>
      <c r="H42" s="16">
        <v>13</v>
      </c>
      <c r="I42" s="10">
        <v>4805</v>
      </c>
      <c r="J42" s="10">
        <v>62465</v>
      </c>
      <c r="K42" s="10">
        <v>37479</v>
      </c>
    </row>
    <row r="43" spans="1:11" ht="15" customHeight="1" x14ac:dyDescent="0.2">
      <c r="A43" s="12">
        <v>37</v>
      </c>
      <c r="B43" s="7" t="s">
        <v>130</v>
      </c>
      <c r="C43" s="7" t="s">
        <v>131</v>
      </c>
      <c r="D43" s="7" t="s">
        <v>136</v>
      </c>
      <c r="E43" s="7" t="s">
        <v>61</v>
      </c>
      <c r="F43" s="7" t="s">
        <v>153</v>
      </c>
      <c r="G43" s="7" t="s">
        <v>60</v>
      </c>
      <c r="H43" s="13">
        <v>9</v>
      </c>
      <c r="I43" s="11">
        <v>16380</v>
      </c>
      <c r="J43" s="11">
        <v>147420</v>
      </c>
      <c r="K43" s="11">
        <v>88452</v>
      </c>
    </row>
    <row r="44" spans="1:11" ht="15" customHeight="1" x14ac:dyDescent="0.2">
      <c r="A44" s="15">
        <v>38</v>
      </c>
      <c r="B44" s="9" t="s">
        <v>135</v>
      </c>
      <c r="C44" s="9" t="s">
        <v>131</v>
      </c>
      <c r="D44" s="9" t="s">
        <v>139</v>
      </c>
      <c r="E44" s="9" t="s">
        <v>74</v>
      </c>
      <c r="F44" s="9" t="s">
        <v>156</v>
      </c>
      <c r="G44" s="9" t="s">
        <v>76</v>
      </c>
      <c r="H44" s="16">
        <v>20</v>
      </c>
      <c r="I44" s="10">
        <v>10804</v>
      </c>
      <c r="J44" s="10">
        <v>216080</v>
      </c>
      <c r="K44" s="10">
        <v>129640</v>
      </c>
    </row>
    <row r="45" spans="1:11" ht="15" customHeight="1" x14ac:dyDescent="0.2">
      <c r="A45" s="12">
        <v>39</v>
      </c>
      <c r="B45" s="7" t="s">
        <v>138</v>
      </c>
      <c r="C45" s="7" t="s">
        <v>131</v>
      </c>
      <c r="D45" s="7" t="s">
        <v>143</v>
      </c>
      <c r="E45" s="7" t="s">
        <v>87</v>
      </c>
      <c r="F45" s="7" t="s">
        <v>159</v>
      </c>
      <c r="G45" s="7" t="s">
        <v>91</v>
      </c>
      <c r="H45" s="13">
        <v>43</v>
      </c>
      <c r="I45" s="11">
        <v>8265</v>
      </c>
      <c r="J45" s="11">
        <v>355395</v>
      </c>
      <c r="K45" s="11">
        <v>213237</v>
      </c>
    </row>
    <row r="46" spans="1:11" ht="15" customHeight="1" x14ac:dyDescent="0.2">
      <c r="A46" s="15">
        <v>40</v>
      </c>
      <c r="B46" s="9" t="s">
        <v>141</v>
      </c>
      <c r="C46" s="9" t="s">
        <v>142</v>
      </c>
      <c r="D46" s="9" t="s">
        <v>147</v>
      </c>
      <c r="E46" s="9" t="s">
        <v>100</v>
      </c>
      <c r="F46" s="9" t="s">
        <v>162</v>
      </c>
      <c r="G46" s="9" t="s">
        <v>106</v>
      </c>
      <c r="H46" s="16">
        <v>45</v>
      </c>
      <c r="I46" s="10">
        <v>3347</v>
      </c>
      <c r="J46" s="10">
        <v>150615</v>
      </c>
      <c r="K46" s="10">
        <v>90360</v>
      </c>
    </row>
    <row r="47" spans="1:11" ht="15" customHeight="1" x14ac:dyDescent="0.2">
      <c r="A47" s="12">
        <v>41</v>
      </c>
      <c r="B47" s="7" t="s">
        <v>146</v>
      </c>
      <c r="C47" s="7" t="s">
        <v>142</v>
      </c>
      <c r="D47" s="7" t="s">
        <v>132</v>
      </c>
      <c r="E47" s="7" t="s">
        <v>48</v>
      </c>
      <c r="F47" s="7" t="s">
        <v>133</v>
      </c>
      <c r="G47" s="7" t="s">
        <v>56</v>
      </c>
      <c r="H47" s="13">
        <v>31</v>
      </c>
      <c r="I47" s="11">
        <v>15091</v>
      </c>
      <c r="J47" s="11">
        <v>467821</v>
      </c>
      <c r="K47" s="11">
        <v>280674</v>
      </c>
    </row>
    <row r="48" spans="1:11" ht="15" customHeight="1" x14ac:dyDescent="0.2">
      <c r="A48" s="15">
        <v>42</v>
      </c>
      <c r="B48" s="9" t="s">
        <v>149</v>
      </c>
      <c r="C48" s="9" t="s">
        <v>142</v>
      </c>
      <c r="D48" s="9" t="s">
        <v>136</v>
      </c>
      <c r="E48" s="9" t="s">
        <v>61</v>
      </c>
      <c r="F48" s="9" t="s">
        <v>167</v>
      </c>
      <c r="G48" s="9" t="s">
        <v>71</v>
      </c>
      <c r="H48" s="16">
        <v>5</v>
      </c>
      <c r="I48" s="10">
        <v>3414</v>
      </c>
      <c r="J48" s="10">
        <v>17070</v>
      </c>
      <c r="K48" s="10">
        <v>10240</v>
      </c>
    </row>
    <row r="49" spans="1:11" ht="15" customHeight="1" x14ac:dyDescent="0.2">
      <c r="A49" s="12">
        <v>43</v>
      </c>
      <c r="B49" s="7" t="s">
        <v>151</v>
      </c>
      <c r="C49" s="7" t="s">
        <v>152</v>
      </c>
      <c r="D49" s="7" t="s">
        <v>139</v>
      </c>
      <c r="E49" s="7" t="s">
        <v>74</v>
      </c>
      <c r="F49" s="7" t="s">
        <v>168</v>
      </c>
      <c r="G49" s="7" t="s">
        <v>73</v>
      </c>
      <c r="H49" s="13">
        <v>12</v>
      </c>
      <c r="I49" s="11">
        <v>7849</v>
      </c>
      <c r="J49" s="11">
        <v>94188</v>
      </c>
      <c r="K49" s="11">
        <v>56508</v>
      </c>
    </row>
    <row r="50" spans="1:11" ht="15" customHeight="1" x14ac:dyDescent="0.2">
      <c r="A50" s="15">
        <v>44</v>
      </c>
      <c r="B50" s="9" t="s">
        <v>155</v>
      </c>
      <c r="C50" s="9" t="s">
        <v>152</v>
      </c>
      <c r="D50" s="9" t="s">
        <v>143</v>
      </c>
      <c r="E50" s="9" t="s">
        <v>87</v>
      </c>
      <c r="F50" s="9" t="s">
        <v>170</v>
      </c>
      <c r="G50" s="9" t="s">
        <v>89</v>
      </c>
      <c r="H50" s="16">
        <v>31</v>
      </c>
      <c r="I50" s="10">
        <v>4248</v>
      </c>
      <c r="J50" s="10">
        <v>131688</v>
      </c>
      <c r="K50" s="10">
        <v>78988</v>
      </c>
    </row>
    <row r="51" spans="1:11" ht="15" customHeight="1" x14ac:dyDescent="0.2">
      <c r="A51" s="12">
        <v>45</v>
      </c>
      <c r="B51" s="7" t="s">
        <v>158</v>
      </c>
      <c r="C51" s="7" t="s">
        <v>152</v>
      </c>
      <c r="D51" s="7" t="s">
        <v>147</v>
      </c>
      <c r="E51" s="7" t="s">
        <v>100</v>
      </c>
      <c r="F51" s="7" t="s">
        <v>148</v>
      </c>
      <c r="G51" s="7" t="s">
        <v>104</v>
      </c>
      <c r="H51" s="13">
        <v>2</v>
      </c>
      <c r="I51" s="11">
        <v>411</v>
      </c>
      <c r="J51" s="11">
        <v>822</v>
      </c>
      <c r="K51" s="11">
        <v>492</v>
      </c>
    </row>
    <row r="52" spans="1:11" ht="15" customHeight="1" x14ac:dyDescent="0.2">
      <c r="A52" s="15">
        <v>46</v>
      </c>
      <c r="B52" s="9" t="s">
        <v>160</v>
      </c>
      <c r="C52" s="9" t="s">
        <v>161</v>
      </c>
      <c r="D52" s="9" t="s">
        <v>132</v>
      </c>
      <c r="E52" s="9" t="s">
        <v>48</v>
      </c>
      <c r="F52" s="9" t="s">
        <v>150</v>
      </c>
      <c r="G52" s="9" t="s">
        <v>54</v>
      </c>
      <c r="H52" s="16">
        <v>8</v>
      </c>
      <c r="I52" s="10">
        <v>11023</v>
      </c>
      <c r="J52" s="10">
        <v>88184</v>
      </c>
      <c r="K52" s="10">
        <v>52904</v>
      </c>
    </row>
    <row r="53" spans="1:11" ht="15" customHeight="1" x14ac:dyDescent="0.2">
      <c r="A53" s="12">
        <v>47</v>
      </c>
      <c r="B53" s="7" t="s">
        <v>164</v>
      </c>
      <c r="C53" s="7" t="s">
        <v>161</v>
      </c>
      <c r="D53" s="7" t="s">
        <v>136</v>
      </c>
      <c r="E53" s="7" t="s">
        <v>61</v>
      </c>
      <c r="F53" s="7" t="s">
        <v>137</v>
      </c>
      <c r="G53" s="7" t="s">
        <v>69</v>
      </c>
      <c r="H53" s="13">
        <v>18</v>
      </c>
      <c r="I53" s="11">
        <v>4628</v>
      </c>
      <c r="J53" s="11">
        <v>83304</v>
      </c>
      <c r="K53" s="11">
        <v>49968</v>
      </c>
    </row>
    <row r="54" spans="1:11" ht="15" customHeight="1" x14ac:dyDescent="0.2">
      <c r="A54" s="15">
        <v>48</v>
      </c>
      <c r="B54" s="9" t="s">
        <v>166</v>
      </c>
      <c r="C54" s="9" t="s">
        <v>161</v>
      </c>
      <c r="D54" s="9" t="s">
        <v>139</v>
      </c>
      <c r="E54" s="9" t="s">
        <v>74</v>
      </c>
      <c r="F54" s="9" t="s">
        <v>140</v>
      </c>
      <c r="G54" s="9" t="s">
        <v>84</v>
      </c>
      <c r="H54" s="16">
        <v>44</v>
      </c>
      <c r="I54" s="10">
        <v>8238</v>
      </c>
      <c r="J54" s="10">
        <v>362472</v>
      </c>
      <c r="K54" s="10">
        <v>217448</v>
      </c>
    </row>
    <row r="55" spans="1:11" ht="15" customHeight="1" x14ac:dyDescent="0.2">
      <c r="A55" s="12">
        <v>49</v>
      </c>
      <c r="B55" s="7" t="s">
        <v>130</v>
      </c>
      <c r="C55" s="7" t="s">
        <v>131</v>
      </c>
      <c r="D55" s="7" t="s">
        <v>143</v>
      </c>
      <c r="E55" s="7" t="s">
        <v>87</v>
      </c>
      <c r="F55" s="7" t="s">
        <v>144</v>
      </c>
      <c r="G55" s="7" t="s">
        <v>86</v>
      </c>
      <c r="H55" s="13">
        <v>44</v>
      </c>
      <c r="I55" s="11">
        <v>772</v>
      </c>
      <c r="J55" s="11">
        <v>33968</v>
      </c>
      <c r="K55" s="11">
        <v>20372</v>
      </c>
    </row>
    <row r="56" spans="1:11" ht="15" customHeight="1" x14ac:dyDescent="0.2">
      <c r="A56" s="15">
        <v>50</v>
      </c>
      <c r="B56" s="9" t="s">
        <v>135</v>
      </c>
      <c r="C56" s="9" t="s">
        <v>131</v>
      </c>
      <c r="D56" s="9" t="s">
        <v>147</v>
      </c>
      <c r="E56" s="9" t="s">
        <v>100</v>
      </c>
      <c r="F56" s="9" t="s">
        <v>162</v>
      </c>
      <c r="G56" s="9" t="s">
        <v>102</v>
      </c>
      <c r="H56" s="16">
        <v>3</v>
      </c>
      <c r="I56" s="10">
        <v>5163</v>
      </c>
      <c r="J56" s="10">
        <v>15489</v>
      </c>
      <c r="K56" s="10">
        <v>9291</v>
      </c>
    </row>
    <row r="57" spans="1:11" ht="15" customHeight="1" x14ac:dyDescent="0.2">
      <c r="A57" s="12">
        <v>51</v>
      </c>
      <c r="B57" s="7" t="s">
        <v>138</v>
      </c>
      <c r="C57" s="7" t="s">
        <v>131</v>
      </c>
      <c r="D57" s="7" t="s">
        <v>132</v>
      </c>
      <c r="E57" s="7" t="s">
        <v>48</v>
      </c>
      <c r="F57" s="7" t="s">
        <v>165</v>
      </c>
      <c r="G57" s="7" t="s">
        <v>52</v>
      </c>
      <c r="H57" s="13">
        <v>34</v>
      </c>
      <c r="I57" s="11">
        <v>3204</v>
      </c>
      <c r="J57" s="11">
        <v>108936</v>
      </c>
      <c r="K57" s="11">
        <v>65348</v>
      </c>
    </row>
    <row r="58" spans="1:11" ht="15" customHeight="1" x14ac:dyDescent="0.2">
      <c r="A58" s="15">
        <v>52</v>
      </c>
      <c r="B58" s="9" t="s">
        <v>141</v>
      </c>
      <c r="C58" s="9" t="s">
        <v>142</v>
      </c>
      <c r="D58" s="9" t="s">
        <v>136</v>
      </c>
      <c r="E58" s="9" t="s">
        <v>61</v>
      </c>
      <c r="F58" s="9" t="s">
        <v>153</v>
      </c>
      <c r="G58" s="9" t="s">
        <v>67</v>
      </c>
      <c r="H58" s="16">
        <v>2</v>
      </c>
      <c r="I58" s="10">
        <v>26076</v>
      </c>
      <c r="J58" s="10">
        <v>52152</v>
      </c>
      <c r="K58" s="10">
        <v>31290</v>
      </c>
    </row>
    <row r="59" spans="1:11" ht="15" customHeight="1" x14ac:dyDescent="0.2">
      <c r="A59" s="12">
        <v>53</v>
      </c>
      <c r="B59" s="7" t="s">
        <v>146</v>
      </c>
      <c r="C59" s="7" t="s">
        <v>142</v>
      </c>
      <c r="D59" s="7" t="s">
        <v>139</v>
      </c>
      <c r="E59" s="7" t="s">
        <v>74</v>
      </c>
      <c r="F59" s="7" t="s">
        <v>156</v>
      </c>
      <c r="G59" s="7" t="s">
        <v>82</v>
      </c>
      <c r="H59" s="13">
        <v>44</v>
      </c>
      <c r="I59" s="11">
        <v>68181</v>
      </c>
      <c r="J59" s="11">
        <v>2999964</v>
      </c>
      <c r="K59" s="11">
        <v>1799952</v>
      </c>
    </row>
    <row r="60" spans="1:11" ht="15" customHeight="1" x14ac:dyDescent="0.2">
      <c r="A60" s="15">
        <v>54</v>
      </c>
      <c r="B60" s="9" t="s">
        <v>149</v>
      </c>
      <c r="C60" s="9" t="s">
        <v>142</v>
      </c>
      <c r="D60" s="9" t="s">
        <v>143</v>
      </c>
      <c r="E60" s="9" t="s">
        <v>87</v>
      </c>
      <c r="F60" s="9" t="s">
        <v>159</v>
      </c>
      <c r="G60" s="9" t="s">
        <v>97</v>
      </c>
      <c r="H60" s="16">
        <v>10</v>
      </c>
      <c r="I60" s="10">
        <v>3019</v>
      </c>
      <c r="J60" s="10">
        <v>30190</v>
      </c>
      <c r="K60" s="10">
        <v>18110</v>
      </c>
    </row>
    <row r="61" spans="1:11" ht="15" customHeight="1" x14ac:dyDescent="0.2">
      <c r="A61" s="12">
        <v>55</v>
      </c>
      <c r="B61" s="7" t="s">
        <v>151</v>
      </c>
      <c r="C61" s="7" t="s">
        <v>152</v>
      </c>
      <c r="D61" s="7" t="s">
        <v>147</v>
      </c>
      <c r="E61" s="7" t="s">
        <v>100</v>
      </c>
      <c r="F61" s="7" t="s">
        <v>148</v>
      </c>
      <c r="G61" s="7" t="s">
        <v>99</v>
      </c>
      <c r="H61" s="13">
        <v>10</v>
      </c>
      <c r="I61" s="11">
        <v>3541</v>
      </c>
      <c r="J61" s="11">
        <v>35410</v>
      </c>
      <c r="K61" s="11">
        <v>21240</v>
      </c>
    </row>
    <row r="62" spans="1:11" ht="15" customHeight="1" x14ac:dyDescent="0.2">
      <c r="A62" s="15">
        <v>56</v>
      </c>
      <c r="B62" s="9" t="s">
        <v>155</v>
      </c>
      <c r="C62" s="9" t="s">
        <v>152</v>
      </c>
      <c r="D62" s="9" t="s">
        <v>132</v>
      </c>
      <c r="E62" s="9" t="s">
        <v>48</v>
      </c>
      <c r="F62" s="9" t="s">
        <v>172</v>
      </c>
      <c r="G62" s="9" t="s">
        <v>50</v>
      </c>
      <c r="H62" s="16">
        <v>8</v>
      </c>
      <c r="I62" s="10">
        <v>8309</v>
      </c>
      <c r="J62" s="10">
        <v>66472</v>
      </c>
      <c r="K62" s="10">
        <v>39880</v>
      </c>
    </row>
    <row r="63" spans="1:11" ht="15" customHeight="1" x14ac:dyDescent="0.2">
      <c r="A63" s="12">
        <v>57</v>
      </c>
      <c r="B63" s="7" t="s">
        <v>158</v>
      </c>
      <c r="C63" s="7" t="s">
        <v>152</v>
      </c>
      <c r="D63" s="7" t="s">
        <v>136</v>
      </c>
      <c r="E63" s="7" t="s">
        <v>61</v>
      </c>
      <c r="F63" s="7" t="s">
        <v>167</v>
      </c>
      <c r="G63" s="7" t="s">
        <v>65</v>
      </c>
      <c r="H63" s="13">
        <v>15</v>
      </c>
      <c r="I63" s="11">
        <v>9290</v>
      </c>
      <c r="J63" s="11">
        <v>139350</v>
      </c>
      <c r="K63" s="11">
        <v>83610</v>
      </c>
    </row>
    <row r="64" spans="1:11" ht="15" customHeight="1" x14ac:dyDescent="0.2">
      <c r="A64" s="15">
        <v>58</v>
      </c>
      <c r="B64" s="9" t="s">
        <v>160</v>
      </c>
      <c r="C64" s="9" t="s">
        <v>161</v>
      </c>
      <c r="D64" s="9" t="s">
        <v>139</v>
      </c>
      <c r="E64" s="9" t="s">
        <v>74</v>
      </c>
      <c r="F64" s="9" t="s">
        <v>168</v>
      </c>
      <c r="G64" s="9" t="s">
        <v>80</v>
      </c>
      <c r="H64" s="16">
        <v>16</v>
      </c>
      <c r="I64" s="10">
        <v>3218</v>
      </c>
      <c r="J64" s="10">
        <v>51488</v>
      </c>
      <c r="K64" s="10">
        <v>30880</v>
      </c>
    </row>
    <row r="65" spans="1:11" ht="15" customHeight="1" x14ac:dyDescent="0.2">
      <c r="A65" s="12">
        <v>59</v>
      </c>
      <c r="B65" s="7" t="s">
        <v>164</v>
      </c>
      <c r="C65" s="7" t="s">
        <v>161</v>
      </c>
      <c r="D65" s="7" t="s">
        <v>143</v>
      </c>
      <c r="E65" s="7" t="s">
        <v>87</v>
      </c>
      <c r="F65" s="7" t="s">
        <v>170</v>
      </c>
      <c r="G65" s="7" t="s">
        <v>95</v>
      </c>
      <c r="H65" s="13">
        <v>10</v>
      </c>
      <c r="I65" s="11">
        <v>960</v>
      </c>
      <c r="J65" s="11">
        <v>9600</v>
      </c>
      <c r="K65" s="11">
        <v>5760</v>
      </c>
    </row>
    <row r="66" spans="1:11" ht="15" customHeight="1" x14ac:dyDescent="0.2">
      <c r="A66" s="15">
        <v>60</v>
      </c>
      <c r="B66" s="9" t="s">
        <v>166</v>
      </c>
      <c r="C66" s="9" t="s">
        <v>161</v>
      </c>
      <c r="D66" s="9" t="s">
        <v>147</v>
      </c>
      <c r="E66" s="9" t="s">
        <v>100</v>
      </c>
      <c r="F66" s="9" t="s">
        <v>162</v>
      </c>
      <c r="G66" s="9" t="s">
        <v>110</v>
      </c>
      <c r="H66" s="16">
        <v>10</v>
      </c>
      <c r="I66" s="10">
        <v>391</v>
      </c>
      <c r="J66" s="10">
        <v>3910</v>
      </c>
      <c r="K66" s="10">
        <v>2340</v>
      </c>
    </row>
    <row r="67" spans="1:11" ht="15" customHeight="1" x14ac:dyDescent="0.2">
      <c r="A67" s="12">
        <v>61</v>
      </c>
      <c r="B67" s="7" t="s">
        <v>130</v>
      </c>
      <c r="C67" s="7" t="s">
        <v>131</v>
      </c>
      <c r="D67" s="7" t="s">
        <v>132</v>
      </c>
      <c r="E67" s="7" t="s">
        <v>48</v>
      </c>
      <c r="F67" s="7" t="s">
        <v>133</v>
      </c>
      <c r="G67" s="7" t="s">
        <v>47</v>
      </c>
      <c r="H67" s="13">
        <v>30</v>
      </c>
      <c r="I67" s="11">
        <v>847</v>
      </c>
      <c r="J67" s="11">
        <v>25410</v>
      </c>
      <c r="K67" s="11">
        <v>15240</v>
      </c>
    </row>
    <row r="68" spans="1:11" ht="15" customHeight="1" x14ac:dyDescent="0.2">
      <c r="A68" s="15">
        <v>62</v>
      </c>
      <c r="B68" s="9" t="s">
        <v>135</v>
      </c>
      <c r="C68" s="9" t="s">
        <v>131</v>
      </c>
      <c r="D68" s="9" t="s">
        <v>136</v>
      </c>
      <c r="E68" s="9" t="s">
        <v>61</v>
      </c>
      <c r="F68" s="9" t="s">
        <v>137</v>
      </c>
      <c r="G68" s="9" t="s">
        <v>63</v>
      </c>
      <c r="H68" s="16">
        <v>13</v>
      </c>
      <c r="I68" s="10">
        <v>11252</v>
      </c>
      <c r="J68" s="10">
        <v>146276</v>
      </c>
      <c r="K68" s="10">
        <v>87763</v>
      </c>
    </row>
    <row r="69" spans="1:11" ht="15" customHeight="1" x14ac:dyDescent="0.2">
      <c r="A69" s="12">
        <v>63</v>
      </c>
      <c r="B69" s="7" t="s">
        <v>138</v>
      </c>
      <c r="C69" s="7" t="s">
        <v>131</v>
      </c>
      <c r="D69" s="7" t="s">
        <v>139</v>
      </c>
      <c r="E69" s="7" t="s">
        <v>74</v>
      </c>
      <c r="F69" s="7" t="s">
        <v>140</v>
      </c>
      <c r="G69" s="7" t="s">
        <v>78</v>
      </c>
      <c r="H69" s="13">
        <v>42</v>
      </c>
      <c r="I69" s="11">
        <v>43301</v>
      </c>
      <c r="J69" s="11">
        <v>1818642</v>
      </c>
      <c r="K69" s="11">
        <v>1091160</v>
      </c>
    </row>
    <row r="70" spans="1:11" ht="15" customHeight="1" x14ac:dyDescent="0.2">
      <c r="A70" s="15">
        <v>64</v>
      </c>
      <c r="B70" s="9" t="s">
        <v>141</v>
      </c>
      <c r="C70" s="9" t="s">
        <v>142</v>
      </c>
      <c r="D70" s="9" t="s">
        <v>143</v>
      </c>
      <c r="E70" s="9" t="s">
        <v>87</v>
      </c>
      <c r="F70" s="9" t="s">
        <v>144</v>
      </c>
      <c r="G70" s="9" t="s">
        <v>93</v>
      </c>
      <c r="H70" s="16">
        <v>8</v>
      </c>
      <c r="I70" s="10">
        <v>41107</v>
      </c>
      <c r="J70" s="10">
        <v>328856</v>
      </c>
      <c r="K70" s="10">
        <v>197312</v>
      </c>
    </row>
    <row r="71" spans="1:11" ht="15" customHeight="1" x14ac:dyDescent="0.2">
      <c r="A71" s="12">
        <v>65</v>
      </c>
      <c r="B71" s="7" t="s">
        <v>146</v>
      </c>
      <c r="C71" s="7" t="s">
        <v>142</v>
      </c>
      <c r="D71" s="7" t="s">
        <v>147</v>
      </c>
      <c r="E71" s="7" t="s">
        <v>100</v>
      </c>
      <c r="F71" s="7" t="s">
        <v>148</v>
      </c>
      <c r="G71" s="7" t="s">
        <v>108</v>
      </c>
      <c r="H71" s="13">
        <v>20</v>
      </c>
      <c r="I71" s="11">
        <v>8001</v>
      </c>
      <c r="J71" s="11">
        <v>160020</v>
      </c>
      <c r="K71" s="11">
        <v>96000</v>
      </c>
    </row>
    <row r="72" spans="1:11" ht="15" customHeight="1" x14ac:dyDescent="0.2">
      <c r="A72" s="15">
        <v>66</v>
      </c>
      <c r="B72" s="9" t="s">
        <v>149</v>
      </c>
      <c r="C72" s="9" t="s">
        <v>142</v>
      </c>
      <c r="D72" s="9" t="s">
        <v>132</v>
      </c>
      <c r="E72" s="9" t="s">
        <v>48</v>
      </c>
      <c r="F72" s="9" t="s">
        <v>150</v>
      </c>
      <c r="G72" s="9" t="s">
        <v>58</v>
      </c>
      <c r="H72" s="16">
        <v>41</v>
      </c>
      <c r="I72" s="10">
        <v>4318</v>
      </c>
      <c r="J72" s="10">
        <v>177038</v>
      </c>
      <c r="K72" s="10">
        <v>106190</v>
      </c>
    </row>
    <row r="73" spans="1:11" ht="15" customHeight="1" x14ac:dyDescent="0.2">
      <c r="A73" s="12">
        <v>67</v>
      </c>
      <c r="B73" s="7" t="s">
        <v>151</v>
      </c>
      <c r="C73" s="7" t="s">
        <v>152</v>
      </c>
      <c r="D73" s="7" t="s">
        <v>136</v>
      </c>
      <c r="E73" s="7" t="s">
        <v>61</v>
      </c>
      <c r="F73" s="7" t="s">
        <v>153</v>
      </c>
      <c r="G73" s="7" t="s">
        <v>60</v>
      </c>
      <c r="H73" s="13">
        <v>45</v>
      </c>
      <c r="I73" s="11">
        <v>16199</v>
      </c>
      <c r="J73" s="11">
        <v>728955</v>
      </c>
      <c r="K73" s="11">
        <v>437355</v>
      </c>
    </row>
    <row r="74" spans="1:11" ht="15" customHeight="1" x14ac:dyDescent="0.2">
      <c r="A74" s="15">
        <v>68</v>
      </c>
      <c r="B74" s="9" t="s">
        <v>155</v>
      </c>
      <c r="C74" s="9" t="s">
        <v>152</v>
      </c>
      <c r="D74" s="9" t="s">
        <v>139</v>
      </c>
      <c r="E74" s="9" t="s">
        <v>74</v>
      </c>
      <c r="F74" s="9" t="s">
        <v>156</v>
      </c>
      <c r="G74" s="9" t="s">
        <v>76</v>
      </c>
      <c r="H74" s="16">
        <v>2</v>
      </c>
      <c r="I74" s="10">
        <v>11462</v>
      </c>
      <c r="J74" s="10">
        <v>22924</v>
      </c>
      <c r="K74" s="10">
        <v>13754</v>
      </c>
    </row>
    <row r="75" spans="1:11" ht="15" customHeight="1" x14ac:dyDescent="0.2">
      <c r="A75" s="12">
        <v>69</v>
      </c>
      <c r="B75" s="7" t="s">
        <v>158</v>
      </c>
      <c r="C75" s="7" t="s">
        <v>152</v>
      </c>
      <c r="D75" s="7" t="s">
        <v>143</v>
      </c>
      <c r="E75" s="7" t="s">
        <v>87</v>
      </c>
      <c r="F75" s="7" t="s">
        <v>159</v>
      </c>
      <c r="G75" s="7" t="s">
        <v>91</v>
      </c>
      <c r="H75" s="13">
        <v>26</v>
      </c>
      <c r="I75" s="11">
        <v>7602</v>
      </c>
      <c r="J75" s="11">
        <v>197652</v>
      </c>
      <c r="K75" s="11">
        <v>118586</v>
      </c>
    </row>
    <row r="76" spans="1:11" ht="15" customHeight="1" x14ac:dyDescent="0.2">
      <c r="A76" s="15">
        <v>70</v>
      </c>
      <c r="B76" s="9" t="s">
        <v>160</v>
      </c>
      <c r="C76" s="9" t="s">
        <v>161</v>
      </c>
      <c r="D76" s="9" t="s">
        <v>147</v>
      </c>
      <c r="E76" s="9" t="s">
        <v>100</v>
      </c>
      <c r="F76" s="9" t="s">
        <v>162</v>
      </c>
      <c r="G76" s="9" t="s">
        <v>106</v>
      </c>
      <c r="H76" s="16">
        <v>20</v>
      </c>
      <c r="I76" s="10">
        <v>3133</v>
      </c>
      <c r="J76" s="10">
        <v>62660</v>
      </c>
      <c r="K76" s="10">
        <v>37580</v>
      </c>
    </row>
    <row r="77" spans="1:11" ht="15" customHeight="1" x14ac:dyDescent="0.2">
      <c r="A77" s="12">
        <v>71</v>
      </c>
      <c r="B77" s="7" t="s">
        <v>164</v>
      </c>
      <c r="C77" s="7" t="s">
        <v>161</v>
      </c>
      <c r="D77" s="7" t="s">
        <v>132</v>
      </c>
      <c r="E77" s="7" t="s">
        <v>48</v>
      </c>
      <c r="F77" s="7" t="s">
        <v>165</v>
      </c>
      <c r="G77" s="7" t="s">
        <v>56</v>
      </c>
      <c r="H77" s="13">
        <v>31</v>
      </c>
      <c r="I77" s="11">
        <v>15930</v>
      </c>
      <c r="J77" s="11">
        <v>493830</v>
      </c>
      <c r="K77" s="11">
        <v>296298</v>
      </c>
    </row>
    <row r="78" spans="1:11" ht="15" customHeight="1" x14ac:dyDescent="0.2">
      <c r="A78" s="15">
        <v>72</v>
      </c>
      <c r="B78" s="9" t="s">
        <v>166</v>
      </c>
      <c r="C78" s="9" t="s">
        <v>161</v>
      </c>
      <c r="D78" s="9" t="s">
        <v>136</v>
      </c>
      <c r="E78" s="9" t="s">
        <v>61</v>
      </c>
      <c r="F78" s="9" t="s">
        <v>167</v>
      </c>
      <c r="G78" s="9" t="s">
        <v>71</v>
      </c>
      <c r="H78" s="16">
        <v>6</v>
      </c>
      <c r="I78" s="10">
        <v>3249</v>
      </c>
      <c r="J78" s="10">
        <v>19494</v>
      </c>
      <c r="K78" s="10">
        <v>11694</v>
      </c>
    </row>
    <row r="79" spans="1:11" ht="15" customHeight="1" x14ac:dyDescent="0.2">
      <c r="A79" s="12">
        <v>73</v>
      </c>
      <c r="B79" s="7" t="s">
        <v>130</v>
      </c>
      <c r="C79" s="7" t="s">
        <v>131</v>
      </c>
      <c r="D79" s="7" t="s">
        <v>139</v>
      </c>
      <c r="E79" s="7" t="s">
        <v>74</v>
      </c>
      <c r="F79" s="7" t="s">
        <v>168</v>
      </c>
      <c r="G79" s="7" t="s">
        <v>73</v>
      </c>
      <c r="H79" s="13">
        <v>15</v>
      </c>
      <c r="I79" s="11">
        <v>9289</v>
      </c>
      <c r="J79" s="11">
        <v>139335</v>
      </c>
      <c r="K79" s="11">
        <v>83595</v>
      </c>
    </row>
    <row r="80" spans="1:11" ht="15" customHeight="1" x14ac:dyDescent="0.2">
      <c r="A80" s="15">
        <v>74</v>
      </c>
      <c r="B80" s="9" t="s">
        <v>135</v>
      </c>
      <c r="C80" s="9" t="s">
        <v>131</v>
      </c>
      <c r="D80" s="9" t="s">
        <v>143</v>
      </c>
      <c r="E80" s="9" t="s">
        <v>87</v>
      </c>
      <c r="F80" s="9" t="s">
        <v>170</v>
      </c>
      <c r="G80" s="9" t="s">
        <v>89</v>
      </c>
      <c r="H80" s="16">
        <v>2</v>
      </c>
      <c r="I80" s="10">
        <v>4368</v>
      </c>
      <c r="J80" s="10">
        <v>8736</v>
      </c>
      <c r="K80" s="10">
        <v>5240</v>
      </c>
    </row>
    <row r="81" spans="1:11" ht="15" customHeight="1" x14ac:dyDescent="0.2">
      <c r="A81" s="12">
        <v>75</v>
      </c>
      <c r="B81" s="7" t="s">
        <v>138</v>
      </c>
      <c r="C81" s="7" t="s">
        <v>131</v>
      </c>
      <c r="D81" s="7" t="s">
        <v>147</v>
      </c>
      <c r="E81" s="7" t="s">
        <v>100</v>
      </c>
      <c r="F81" s="7" t="s">
        <v>148</v>
      </c>
      <c r="G81" s="7" t="s">
        <v>104</v>
      </c>
      <c r="H81" s="13">
        <v>35</v>
      </c>
      <c r="I81" s="11">
        <v>411</v>
      </c>
      <c r="J81" s="11">
        <v>14385</v>
      </c>
      <c r="K81" s="11">
        <v>8610</v>
      </c>
    </row>
    <row r="82" spans="1:11" ht="15" customHeight="1" x14ac:dyDescent="0.2">
      <c r="A82" s="15">
        <v>76</v>
      </c>
      <c r="B82" s="9" t="s">
        <v>141</v>
      </c>
      <c r="C82" s="9" t="s">
        <v>142</v>
      </c>
      <c r="D82" s="9" t="s">
        <v>132</v>
      </c>
      <c r="E82" s="9" t="s">
        <v>48</v>
      </c>
      <c r="F82" s="9" t="s">
        <v>172</v>
      </c>
      <c r="G82" s="9" t="s">
        <v>54</v>
      </c>
      <c r="H82" s="16">
        <v>37</v>
      </c>
      <c r="I82" s="10">
        <v>12293</v>
      </c>
      <c r="J82" s="10">
        <v>454841</v>
      </c>
      <c r="K82" s="10">
        <v>272875</v>
      </c>
    </row>
    <row r="83" spans="1:11" ht="15" customHeight="1" x14ac:dyDescent="0.2">
      <c r="A83" s="12">
        <v>77</v>
      </c>
      <c r="B83" s="7" t="s">
        <v>146</v>
      </c>
      <c r="C83" s="7" t="s">
        <v>142</v>
      </c>
      <c r="D83" s="7" t="s">
        <v>136</v>
      </c>
      <c r="E83" s="7" t="s">
        <v>61</v>
      </c>
      <c r="F83" s="7" t="s">
        <v>137</v>
      </c>
      <c r="G83" s="7" t="s">
        <v>69</v>
      </c>
      <c r="H83" s="13">
        <v>23</v>
      </c>
      <c r="I83" s="11">
        <v>4693</v>
      </c>
      <c r="J83" s="11">
        <v>107939</v>
      </c>
      <c r="K83" s="11">
        <v>64745</v>
      </c>
    </row>
    <row r="84" spans="1:11" ht="15" customHeight="1" x14ac:dyDescent="0.2">
      <c r="A84" s="15">
        <v>78</v>
      </c>
      <c r="B84" s="9" t="s">
        <v>149</v>
      </c>
      <c r="C84" s="9" t="s">
        <v>142</v>
      </c>
      <c r="D84" s="9" t="s">
        <v>139</v>
      </c>
      <c r="E84" s="9" t="s">
        <v>74</v>
      </c>
      <c r="F84" s="9" t="s">
        <v>140</v>
      </c>
      <c r="G84" s="9" t="s">
        <v>84</v>
      </c>
      <c r="H84" s="16">
        <v>13</v>
      </c>
      <c r="I84" s="10">
        <v>7453</v>
      </c>
      <c r="J84" s="10">
        <v>96889</v>
      </c>
      <c r="K84" s="10">
        <v>58123</v>
      </c>
    </row>
    <row r="85" spans="1:11" ht="15" customHeight="1" x14ac:dyDescent="0.2">
      <c r="A85" s="12">
        <v>79</v>
      </c>
      <c r="B85" s="7" t="s">
        <v>151</v>
      </c>
      <c r="C85" s="7" t="s">
        <v>152</v>
      </c>
      <c r="D85" s="7" t="s">
        <v>143</v>
      </c>
      <c r="E85" s="7" t="s">
        <v>87</v>
      </c>
      <c r="F85" s="7" t="s">
        <v>144</v>
      </c>
      <c r="G85" s="7" t="s">
        <v>86</v>
      </c>
      <c r="H85" s="13">
        <v>40</v>
      </c>
      <c r="I85" s="11">
        <v>908</v>
      </c>
      <c r="J85" s="11">
        <v>36320</v>
      </c>
      <c r="K85" s="11">
        <v>21760</v>
      </c>
    </row>
    <row r="86" spans="1:11" ht="15" customHeight="1" x14ac:dyDescent="0.2">
      <c r="A86" s="15">
        <v>80</v>
      </c>
      <c r="B86" s="9" t="s">
        <v>155</v>
      </c>
      <c r="C86" s="9" t="s">
        <v>152</v>
      </c>
      <c r="D86" s="9" t="s">
        <v>147</v>
      </c>
      <c r="E86" s="9" t="s">
        <v>100</v>
      </c>
      <c r="F86" s="9" t="s">
        <v>162</v>
      </c>
      <c r="G86" s="9" t="s">
        <v>102</v>
      </c>
      <c r="H86" s="16">
        <v>8</v>
      </c>
      <c r="I86" s="10">
        <v>4952</v>
      </c>
      <c r="J86" s="10">
        <v>39616</v>
      </c>
      <c r="K86" s="10">
        <v>23768</v>
      </c>
    </row>
    <row r="87" spans="1:11" ht="15" customHeight="1" x14ac:dyDescent="0.2">
      <c r="A87" s="12">
        <v>81</v>
      </c>
      <c r="B87" s="7" t="s">
        <v>158</v>
      </c>
      <c r="C87" s="7" t="s">
        <v>152</v>
      </c>
      <c r="D87" s="7" t="s">
        <v>132</v>
      </c>
      <c r="E87" s="7" t="s">
        <v>48</v>
      </c>
      <c r="F87" s="7" t="s">
        <v>133</v>
      </c>
      <c r="G87" s="7" t="s">
        <v>52</v>
      </c>
      <c r="H87" s="13">
        <v>4</v>
      </c>
      <c r="I87" s="11">
        <v>3015</v>
      </c>
      <c r="J87" s="11">
        <v>12060</v>
      </c>
      <c r="K87" s="11">
        <v>7236</v>
      </c>
    </row>
    <row r="88" spans="1:11" ht="15" customHeight="1" x14ac:dyDescent="0.2">
      <c r="A88" s="15">
        <v>82</v>
      </c>
      <c r="B88" s="9" t="s">
        <v>160</v>
      </c>
      <c r="C88" s="9" t="s">
        <v>161</v>
      </c>
      <c r="D88" s="9" t="s">
        <v>136</v>
      </c>
      <c r="E88" s="9" t="s">
        <v>61</v>
      </c>
      <c r="F88" s="9" t="s">
        <v>153</v>
      </c>
      <c r="G88" s="9" t="s">
        <v>67</v>
      </c>
      <c r="H88" s="16">
        <v>15</v>
      </c>
      <c r="I88" s="10">
        <v>28662</v>
      </c>
      <c r="J88" s="10">
        <v>429930</v>
      </c>
      <c r="K88" s="10">
        <v>257955</v>
      </c>
    </row>
    <row r="89" spans="1:11" ht="15" customHeight="1" x14ac:dyDescent="0.2">
      <c r="A89" s="12">
        <v>83</v>
      </c>
      <c r="B89" s="7" t="s">
        <v>164</v>
      </c>
      <c r="C89" s="7" t="s">
        <v>161</v>
      </c>
      <c r="D89" s="7" t="s">
        <v>139</v>
      </c>
      <c r="E89" s="7" t="s">
        <v>74</v>
      </c>
      <c r="F89" s="7" t="s">
        <v>156</v>
      </c>
      <c r="G89" s="7" t="s">
        <v>82</v>
      </c>
      <c r="H89" s="13">
        <v>27</v>
      </c>
      <c r="I89" s="11">
        <v>67451</v>
      </c>
      <c r="J89" s="11">
        <v>1821177</v>
      </c>
      <c r="K89" s="11">
        <v>1092690</v>
      </c>
    </row>
    <row r="90" spans="1:11" ht="15" customHeight="1" x14ac:dyDescent="0.2">
      <c r="A90" s="15">
        <v>84</v>
      </c>
      <c r="B90" s="9" t="s">
        <v>166</v>
      </c>
      <c r="C90" s="9" t="s">
        <v>161</v>
      </c>
      <c r="D90" s="9" t="s">
        <v>143</v>
      </c>
      <c r="E90" s="9" t="s">
        <v>87</v>
      </c>
      <c r="F90" s="9" t="s">
        <v>159</v>
      </c>
      <c r="G90" s="9" t="s">
        <v>97</v>
      </c>
      <c r="H90" s="16">
        <v>7</v>
      </c>
      <c r="I90" s="10">
        <v>2846</v>
      </c>
      <c r="J90" s="10">
        <v>19922</v>
      </c>
      <c r="K90" s="10">
        <v>11949</v>
      </c>
    </row>
    <row r="91" spans="1:11" ht="15" customHeight="1" x14ac:dyDescent="0.2">
      <c r="A91" s="12">
        <v>85</v>
      </c>
      <c r="B91" s="7" t="s">
        <v>130</v>
      </c>
      <c r="C91" s="7" t="s">
        <v>131</v>
      </c>
      <c r="D91" s="7" t="s">
        <v>147</v>
      </c>
      <c r="E91" s="7" t="s">
        <v>100</v>
      </c>
      <c r="F91" s="7" t="s">
        <v>148</v>
      </c>
      <c r="G91" s="7" t="s">
        <v>99</v>
      </c>
      <c r="H91" s="13">
        <v>25</v>
      </c>
      <c r="I91" s="11">
        <v>3808</v>
      </c>
      <c r="J91" s="11">
        <v>95200</v>
      </c>
      <c r="K91" s="11">
        <v>57100</v>
      </c>
    </row>
    <row r="92" spans="1:11" ht="15" customHeight="1" x14ac:dyDescent="0.2">
      <c r="A92" s="15">
        <v>86</v>
      </c>
      <c r="B92" s="9" t="s">
        <v>135</v>
      </c>
      <c r="C92" s="9" t="s">
        <v>131</v>
      </c>
      <c r="D92" s="9" t="s">
        <v>132</v>
      </c>
      <c r="E92" s="9" t="s">
        <v>48</v>
      </c>
      <c r="F92" s="9" t="s">
        <v>150</v>
      </c>
      <c r="G92" s="9" t="s">
        <v>50</v>
      </c>
      <c r="H92" s="16">
        <v>30</v>
      </c>
      <c r="I92" s="10">
        <v>7734</v>
      </c>
      <c r="J92" s="10">
        <v>232020</v>
      </c>
      <c r="K92" s="10">
        <v>139200</v>
      </c>
    </row>
    <row r="93" spans="1:11" ht="15" customHeight="1" x14ac:dyDescent="0.2">
      <c r="A93" s="12">
        <v>87</v>
      </c>
      <c r="B93" s="7" t="s">
        <v>138</v>
      </c>
      <c r="C93" s="7" t="s">
        <v>131</v>
      </c>
      <c r="D93" s="7" t="s">
        <v>136</v>
      </c>
      <c r="E93" s="7" t="s">
        <v>61</v>
      </c>
      <c r="F93" s="7" t="s">
        <v>167</v>
      </c>
      <c r="G93" s="7" t="s">
        <v>65</v>
      </c>
      <c r="H93" s="13">
        <v>43</v>
      </c>
      <c r="I93" s="11">
        <v>9089</v>
      </c>
      <c r="J93" s="11">
        <v>390827</v>
      </c>
      <c r="K93" s="11">
        <v>234479</v>
      </c>
    </row>
    <row r="94" spans="1:11" ht="15" customHeight="1" x14ac:dyDescent="0.2">
      <c r="A94" s="15">
        <v>88</v>
      </c>
      <c r="B94" s="9" t="s">
        <v>141</v>
      </c>
      <c r="C94" s="9" t="s">
        <v>142</v>
      </c>
      <c r="D94" s="9" t="s">
        <v>139</v>
      </c>
      <c r="E94" s="9" t="s">
        <v>74</v>
      </c>
      <c r="F94" s="9" t="s">
        <v>168</v>
      </c>
      <c r="G94" s="9" t="s">
        <v>80</v>
      </c>
      <c r="H94" s="16">
        <v>41</v>
      </c>
      <c r="I94" s="10">
        <v>3413</v>
      </c>
      <c r="J94" s="10">
        <v>139933</v>
      </c>
      <c r="K94" s="10">
        <v>83927</v>
      </c>
    </row>
    <row r="95" spans="1:11" ht="15" customHeight="1" x14ac:dyDescent="0.2">
      <c r="A95" s="12">
        <v>89</v>
      </c>
      <c r="B95" s="7" t="s">
        <v>146</v>
      </c>
      <c r="C95" s="7" t="s">
        <v>142</v>
      </c>
      <c r="D95" s="7" t="s">
        <v>143</v>
      </c>
      <c r="E95" s="7" t="s">
        <v>87</v>
      </c>
      <c r="F95" s="7" t="s">
        <v>170</v>
      </c>
      <c r="G95" s="7" t="s">
        <v>95</v>
      </c>
      <c r="H95" s="13">
        <v>37</v>
      </c>
      <c r="I95" s="11">
        <v>930</v>
      </c>
      <c r="J95" s="11">
        <v>34410</v>
      </c>
      <c r="K95" s="11">
        <v>20646</v>
      </c>
    </row>
    <row r="96" spans="1:11" ht="15" customHeight="1" x14ac:dyDescent="0.2">
      <c r="A96" s="15">
        <v>90</v>
      </c>
      <c r="B96" s="9" t="s">
        <v>149</v>
      </c>
      <c r="C96" s="9" t="s">
        <v>142</v>
      </c>
      <c r="D96" s="9" t="s">
        <v>147</v>
      </c>
      <c r="E96" s="9" t="s">
        <v>100</v>
      </c>
      <c r="F96" s="9" t="s">
        <v>162</v>
      </c>
      <c r="G96" s="9" t="s">
        <v>110</v>
      </c>
      <c r="H96" s="16">
        <v>18</v>
      </c>
      <c r="I96" s="10">
        <v>342</v>
      </c>
      <c r="J96" s="10">
        <v>6156</v>
      </c>
      <c r="K96" s="10">
        <v>3690</v>
      </c>
    </row>
    <row r="98" spans="1:11" ht="6" customHeight="1" x14ac:dyDescent="0.2"/>
    <row r="99" spans="1:11" ht="22" customHeight="1" x14ac:dyDescent="0.2">
      <c r="A99" s="45" t="s">
        <v>218</v>
      </c>
      <c r="B99" s="30"/>
      <c r="C99" s="30"/>
      <c r="D99" s="30"/>
      <c r="E99" s="30"/>
      <c r="F99" s="30"/>
      <c r="G99" s="30"/>
      <c r="H99" s="30"/>
      <c r="I99" s="30"/>
      <c r="J99" s="30"/>
      <c r="K99" s="31"/>
    </row>
    <row r="100" spans="1:11" ht="32" customHeight="1" x14ac:dyDescent="0.2">
      <c r="A100" s="60" t="s">
        <v>219</v>
      </c>
      <c r="B100" s="39"/>
      <c r="C100" s="39"/>
      <c r="D100" s="39"/>
      <c r="E100" s="39"/>
      <c r="F100" s="39"/>
      <c r="G100" s="39"/>
      <c r="H100" s="39"/>
      <c r="I100" s="39"/>
      <c r="J100" s="39"/>
      <c r="K100" s="40"/>
    </row>
    <row r="101" spans="1:11" ht="56" customHeight="1" x14ac:dyDescent="0.2">
      <c r="A101" s="38" t="s">
        <v>220</v>
      </c>
      <c r="B101" s="39"/>
      <c r="C101" s="39"/>
      <c r="D101" s="39"/>
      <c r="E101" s="39"/>
      <c r="F101" s="39"/>
      <c r="G101" s="39"/>
      <c r="H101" s="39"/>
      <c r="I101" s="39"/>
      <c r="J101" s="39"/>
      <c r="K101" s="40"/>
    </row>
    <row r="102" spans="1:11" ht="6" customHeight="1" x14ac:dyDescent="0.2"/>
    <row r="103" spans="1:11" ht="32" customHeight="1" x14ac:dyDescent="0.2">
      <c r="A103" s="60" t="s">
        <v>221</v>
      </c>
      <c r="B103" s="39"/>
      <c r="C103" s="39"/>
      <c r="D103" s="39"/>
      <c r="E103" s="39"/>
      <c r="F103" s="39"/>
      <c r="G103" s="39"/>
      <c r="H103" s="39"/>
      <c r="I103" s="39"/>
      <c r="J103" s="39"/>
      <c r="K103" s="40"/>
    </row>
    <row r="104" spans="1:11" ht="56" customHeight="1" x14ac:dyDescent="0.2">
      <c r="A104" s="38" t="s">
        <v>341</v>
      </c>
      <c r="B104" s="39"/>
      <c r="C104" s="39"/>
      <c r="D104" s="39"/>
      <c r="E104" s="39"/>
      <c r="F104" s="39"/>
      <c r="G104" s="39"/>
      <c r="H104" s="39"/>
      <c r="I104" s="39"/>
      <c r="J104" s="39"/>
      <c r="K104" s="40"/>
    </row>
    <row r="105" spans="1:11" ht="6" customHeight="1" x14ac:dyDescent="0.2"/>
    <row r="106" spans="1:11" ht="32" customHeight="1" x14ac:dyDescent="0.2">
      <c r="A106" s="60" t="s">
        <v>222</v>
      </c>
      <c r="B106" s="39"/>
      <c r="C106" s="39"/>
      <c r="D106" s="39"/>
      <c r="E106" s="39"/>
      <c r="F106" s="39"/>
      <c r="G106" s="39"/>
      <c r="H106" s="39"/>
      <c r="I106" s="39"/>
      <c r="J106" s="39"/>
      <c r="K106" s="40"/>
    </row>
    <row r="107" spans="1:11" ht="56" customHeight="1" x14ac:dyDescent="0.2">
      <c r="A107" s="38" t="s">
        <v>223</v>
      </c>
      <c r="B107" s="39"/>
      <c r="C107" s="39"/>
      <c r="D107" s="39"/>
      <c r="E107" s="39"/>
      <c r="F107" s="39"/>
      <c r="G107" s="39"/>
      <c r="H107" s="39"/>
      <c r="I107" s="39"/>
      <c r="J107" s="39"/>
      <c r="K107" s="40"/>
    </row>
    <row r="108" spans="1:11" ht="6" customHeight="1" x14ac:dyDescent="0.2"/>
    <row r="109" spans="1:11" ht="32" customHeight="1" x14ac:dyDescent="0.2">
      <c r="A109" s="60" t="s">
        <v>224</v>
      </c>
      <c r="B109" s="39"/>
      <c r="C109" s="39"/>
      <c r="D109" s="39"/>
      <c r="E109" s="39"/>
      <c r="F109" s="39"/>
      <c r="G109" s="39"/>
      <c r="H109" s="39"/>
      <c r="I109" s="39"/>
      <c r="J109" s="39"/>
      <c r="K109" s="40"/>
    </row>
    <row r="110" spans="1:11" ht="56" customHeight="1" x14ac:dyDescent="0.2">
      <c r="A110" s="38" t="s">
        <v>342</v>
      </c>
      <c r="B110" s="39"/>
      <c r="C110" s="39"/>
      <c r="D110" s="39"/>
      <c r="E110" s="39"/>
      <c r="F110" s="39"/>
      <c r="G110" s="39"/>
      <c r="H110" s="39"/>
      <c r="I110" s="39"/>
      <c r="J110" s="39"/>
      <c r="K110" s="40"/>
    </row>
    <row r="111" spans="1:11" ht="6" customHeight="1" x14ac:dyDescent="0.2"/>
  </sheetData>
  <mergeCells count="12">
    <mergeCell ref="A110:K110"/>
    <mergeCell ref="A106:K106"/>
    <mergeCell ref="A2:K2"/>
    <mergeCell ref="A1:K1"/>
    <mergeCell ref="A107:K107"/>
    <mergeCell ref="A99:K99"/>
    <mergeCell ref="A103:K103"/>
    <mergeCell ref="A4:K4"/>
    <mergeCell ref="A100:K100"/>
    <mergeCell ref="A101:K101"/>
    <mergeCell ref="A109:K109"/>
    <mergeCell ref="A104:K104"/>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F35"/>
  <sheetViews>
    <sheetView topLeftCell="A17" workbookViewId="0">
      <selection activeCell="A35" sqref="A35:XFD35"/>
    </sheetView>
  </sheetViews>
  <sheetFormatPr baseColWidth="10" defaultColWidth="8.83203125" defaultRowHeight="15" x14ac:dyDescent="0.2"/>
  <cols>
    <col min="1" max="1" width="30" customWidth="1"/>
    <col min="2" max="2" width="16" customWidth="1"/>
    <col min="3" max="4" width="6" customWidth="1"/>
    <col min="5" max="5" width="22" customWidth="1"/>
    <col min="6" max="6" width="16" customWidth="1"/>
  </cols>
  <sheetData>
    <row r="1" spans="1:6" ht="32" customHeight="1" x14ac:dyDescent="0.2">
      <c r="A1" s="54" t="s">
        <v>225</v>
      </c>
      <c r="B1" s="30"/>
      <c r="C1" s="30"/>
      <c r="D1" s="30"/>
      <c r="E1" s="30"/>
      <c r="F1" s="31"/>
    </row>
    <row r="2" spans="1:6" ht="60" customHeight="1" x14ac:dyDescent="0.2">
      <c r="A2" s="42" t="s">
        <v>226</v>
      </c>
      <c r="B2" s="30"/>
      <c r="C2" s="30"/>
      <c r="D2" s="30"/>
      <c r="E2" s="30"/>
      <c r="F2" s="31"/>
    </row>
    <row r="3" spans="1:6" ht="6" customHeight="1" x14ac:dyDescent="0.2"/>
    <row r="4" spans="1:6" ht="22" customHeight="1" x14ac:dyDescent="0.2">
      <c r="A4" s="52" t="s">
        <v>227</v>
      </c>
      <c r="B4" s="30"/>
      <c r="C4" s="30"/>
      <c r="D4" s="30"/>
      <c r="E4" s="30"/>
      <c r="F4" s="31"/>
    </row>
    <row r="5" spans="1:6" ht="83" customHeight="1" x14ac:dyDescent="0.2">
      <c r="A5" s="57" t="s">
        <v>343</v>
      </c>
      <c r="B5" s="58"/>
      <c r="C5" s="58"/>
      <c r="D5" s="58"/>
      <c r="E5" s="58"/>
      <c r="F5" s="59"/>
    </row>
    <row r="6" spans="1:6" ht="6" customHeight="1" x14ac:dyDescent="0.2"/>
    <row r="7" spans="1:6" ht="20" customHeight="1" x14ac:dyDescent="0.2">
      <c r="A7" s="3" t="s">
        <v>228</v>
      </c>
      <c r="B7" s="11">
        <v>20000000</v>
      </c>
    </row>
    <row r="8" spans="1:6" ht="20" customHeight="1" x14ac:dyDescent="0.2">
      <c r="A8" s="3" t="s">
        <v>229</v>
      </c>
      <c r="B8" s="17">
        <v>1.2E-2</v>
      </c>
    </row>
    <row r="9" spans="1:6" ht="20" customHeight="1" x14ac:dyDescent="0.2">
      <c r="A9" s="3" t="s">
        <v>230</v>
      </c>
      <c r="B9" s="11">
        <v>48</v>
      </c>
    </row>
    <row r="10" spans="1:6" ht="6" customHeight="1" x14ac:dyDescent="0.2"/>
    <row r="11" spans="1:6" ht="32" customHeight="1" x14ac:dyDescent="0.2">
      <c r="A11" s="60" t="s">
        <v>231</v>
      </c>
      <c r="B11" s="39"/>
      <c r="C11" s="39"/>
      <c r="D11" s="39"/>
      <c r="E11" s="39"/>
      <c r="F11" s="40"/>
    </row>
    <row r="12" spans="1:6" ht="22" customHeight="1" x14ac:dyDescent="0.2">
      <c r="A12" s="3" t="s">
        <v>232</v>
      </c>
      <c r="B12" s="14">
        <f>PMT(B8,B9,-B7)</f>
        <v>550551.03868059348</v>
      </c>
    </row>
    <row r="13" spans="1:6" ht="44" customHeight="1" x14ac:dyDescent="0.2">
      <c r="A13" s="60" t="s">
        <v>233</v>
      </c>
      <c r="B13" s="39"/>
      <c r="C13" s="39"/>
      <c r="D13" s="39"/>
      <c r="E13" s="39"/>
      <c r="F13" s="40"/>
    </row>
    <row r="14" spans="1:6" ht="60" customHeight="1" x14ac:dyDescent="0.2">
      <c r="A14" s="38" t="s">
        <v>234</v>
      </c>
      <c r="B14" s="39"/>
      <c r="C14" s="39"/>
      <c r="D14" s="39"/>
      <c r="E14" s="39"/>
      <c r="F14" s="40"/>
    </row>
    <row r="15" spans="1:6" ht="22" customHeight="1" x14ac:dyDescent="0.2"/>
    <row r="16" spans="1:6" ht="1" customHeight="1" x14ac:dyDescent="0.2">
      <c r="A16" s="52" t="s">
        <v>235</v>
      </c>
      <c r="B16" s="30"/>
      <c r="C16" s="30"/>
      <c r="D16" s="30"/>
      <c r="E16" s="30"/>
      <c r="F16" s="31"/>
    </row>
    <row r="17" spans="1:6" ht="185" customHeight="1" x14ac:dyDescent="0.2">
      <c r="A17" s="57" t="s">
        <v>236</v>
      </c>
      <c r="B17" s="58"/>
      <c r="C17" s="58"/>
      <c r="D17" s="58"/>
      <c r="E17" s="58"/>
      <c r="F17" s="59"/>
    </row>
    <row r="18" spans="1:6" ht="6" customHeight="1" x14ac:dyDescent="0.2"/>
    <row r="19" spans="1:6" ht="20" customHeight="1" x14ac:dyDescent="0.2">
      <c r="A19" s="3" t="s">
        <v>237</v>
      </c>
      <c r="B19" s="17">
        <v>0.14000000000000001</v>
      </c>
    </row>
    <row r="20" spans="1:6" ht="6" customHeight="1" x14ac:dyDescent="0.2"/>
    <row r="21" spans="1:6" ht="22" customHeight="1" x14ac:dyDescent="0.2">
      <c r="A21" s="18"/>
      <c r="B21" s="5" t="s">
        <v>238</v>
      </c>
      <c r="E21" s="6" t="s">
        <v>239</v>
      </c>
    </row>
    <row r="22" spans="1:6" ht="20" customHeight="1" x14ac:dyDescent="0.2">
      <c r="A22" s="3" t="s">
        <v>240</v>
      </c>
      <c r="B22" s="11">
        <v>-9000000</v>
      </c>
      <c r="E22" s="11">
        <v>-9000000</v>
      </c>
    </row>
    <row r="23" spans="1:6" ht="18" customHeight="1" x14ac:dyDescent="0.2">
      <c r="A23" s="3" t="s">
        <v>241</v>
      </c>
      <c r="B23" s="11">
        <v>2339951</v>
      </c>
      <c r="E23" s="11">
        <v>3436339</v>
      </c>
    </row>
    <row r="24" spans="1:6" ht="18" customHeight="1" x14ac:dyDescent="0.2">
      <c r="A24" s="3" t="s">
        <v>242</v>
      </c>
      <c r="B24" s="11">
        <v>2059930</v>
      </c>
      <c r="E24" s="11">
        <v>2925426</v>
      </c>
    </row>
    <row r="25" spans="1:6" ht="18" customHeight="1" x14ac:dyDescent="0.2">
      <c r="A25" s="3" t="s">
        <v>243</v>
      </c>
      <c r="B25" s="11">
        <v>1997811</v>
      </c>
      <c r="E25" s="11">
        <v>2799499</v>
      </c>
    </row>
    <row r="26" spans="1:6" ht="18" customHeight="1" x14ac:dyDescent="0.2">
      <c r="A26" s="3" t="s">
        <v>244</v>
      </c>
      <c r="B26" s="11">
        <v>2791223</v>
      </c>
      <c r="E26" s="11">
        <v>3736715</v>
      </c>
    </row>
    <row r="27" spans="1:6" ht="18" customHeight="1" x14ac:dyDescent="0.2">
      <c r="A27" s="3" t="s">
        <v>245</v>
      </c>
      <c r="B27" s="11">
        <v>2799208</v>
      </c>
      <c r="E27" s="11">
        <v>3623697</v>
      </c>
    </row>
    <row r="28" spans="1:6" ht="6" customHeight="1" x14ac:dyDescent="0.2"/>
    <row r="29" spans="1:6" ht="22" customHeight="1" x14ac:dyDescent="0.2">
      <c r="A29" s="3" t="s">
        <v>246</v>
      </c>
      <c r="B29" s="14">
        <f>NPV(B19,B23:B27)+B22</f>
        <v>-907447.6295645209</v>
      </c>
      <c r="E29" s="14">
        <f>NPV(B19,E23:E27)+E22</f>
        <v>2249404.7793071438</v>
      </c>
    </row>
    <row r="30" spans="1:6" ht="22" customHeight="1" x14ac:dyDescent="0.2">
      <c r="A30" s="3" t="s">
        <v>247</v>
      </c>
      <c r="B30" s="19">
        <f>IRR(B22:B27)</f>
        <v>9.896558194126337E-2</v>
      </c>
      <c r="E30" s="19">
        <f>IRR(E22:E27)</f>
        <v>0.23782964733383838</v>
      </c>
    </row>
    <row r="31" spans="1:6" ht="6" customHeight="1" x14ac:dyDescent="0.2"/>
    <row r="32" spans="1:6" ht="52" customHeight="1" x14ac:dyDescent="0.2">
      <c r="A32" s="60" t="s">
        <v>248</v>
      </c>
      <c r="B32" s="39"/>
      <c r="C32" s="39"/>
      <c r="D32" s="39"/>
      <c r="E32" s="39"/>
      <c r="F32" s="40"/>
    </row>
    <row r="33" spans="1:6" ht="114" customHeight="1" x14ac:dyDescent="0.2">
      <c r="A33" s="38" t="s">
        <v>249</v>
      </c>
      <c r="B33" s="39"/>
      <c r="C33" s="39"/>
      <c r="D33" s="39"/>
      <c r="E33" s="39"/>
      <c r="F33" s="40"/>
    </row>
    <row r="34" spans="1:6" ht="44" customHeight="1" x14ac:dyDescent="0.2">
      <c r="A34" s="60" t="s">
        <v>250</v>
      </c>
      <c r="B34" s="39"/>
      <c r="C34" s="39"/>
      <c r="D34" s="39"/>
      <c r="E34" s="39"/>
      <c r="F34" s="40"/>
    </row>
    <row r="35" spans="1:6" ht="82" customHeight="1" x14ac:dyDescent="0.2">
      <c r="A35" s="38" t="s">
        <v>344</v>
      </c>
      <c r="B35" s="39"/>
      <c r="C35" s="39"/>
      <c r="D35" s="39"/>
      <c r="E35" s="39"/>
      <c r="F35" s="40"/>
    </row>
  </sheetData>
  <mergeCells count="13">
    <mergeCell ref="A1:F1"/>
    <mergeCell ref="A5:F5"/>
    <mergeCell ref="A32:F32"/>
    <mergeCell ref="A17:F17"/>
    <mergeCell ref="A35:F35"/>
    <mergeCell ref="A34:F34"/>
    <mergeCell ref="A4:F4"/>
    <mergeCell ref="A16:F16"/>
    <mergeCell ref="A11:F11"/>
    <mergeCell ref="A2:F2"/>
    <mergeCell ref="A33:F33"/>
    <mergeCell ref="A13:F13"/>
    <mergeCell ref="A14:F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07D2A"/>
  </sheetPr>
  <dimension ref="A1:G39"/>
  <sheetViews>
    <sheetView tabSelected="1" zoomScale="50" zoomScaleNormal="125" workbookViewId="0">
      <selection activeCell="V22" sqref="V22"/>
    </sheetView>
  </sheetViews>
  <sheetFormatPr baseColWidth="10" defaultColWidth="8.83203125" defaultRowHeight="15" x14ac:dyDescent="0.2"/>
  <cols>
    <col min="1" max="1" width="22" customWidth="1"/>
    <col min="2" max="7" width="13" customWidth="1"/>
  </cols>
  <sheetData>
    <row r="1" spans="1:7" ht="32" customHeight="1" x14ac:dyDescent="0.2">
      <c r="A1" s="54" t="s">
        <v>251</v>
      </c>
      <c r="B1" s="30"/>
      <c r="C1" s="30"/>
      <c r="D1" s="30"/>
      <c r="E1" s="30"/>
      <c r="F1" s="30"/>
      <c r="G1" s="31"/>
    </row>
    <row r="2" spans="1:7" ht="52" customHeight="1" x14ac:dyDescent="0.2">
      <c r="A2" s="42" t="s">
        <v>252</v>
      </c>
      <c r="B2" s="30"/>
      <c r="C2" s="30"/>
      <c r="D2" s="30"/>
      <c r="E2" s="30"/>
      <c r="F2" s="30"/>
      <c r="G2" s="31"/>
    </row>
    <row r="3" spans="1:7" ht="6" customHeight="1" x14ac:dyDescent="0.2"/>
    <row r="4" spans="1:7" ht="22" customHeight="1" x14ac:dyDescent="0.2">
      <c r="A4" s="52" t="s">
        <v>345</v>
      </c>
      <c r="B4" s="30"/>
      <c r="C4" s="30"/>
      <c r="D4" s="30"/>
      <c r="E4" s="30"/>
      <c r="F4" s="30"/>
      <c r="G4" s="31"/>
    </row>
    <row r="5" spans="1:7" ht="22" customHeight="1" x14ac:dyDescent="0.2">
      <c r="A5" s="5" t="s">
        <v>122</v>
      </c>
      <c r="B5" s="6" t="s">
        <v>131</v>
      </c>
      <c r="C5" s="6" t="s">
        <v>142</v>
      </c>
      <c r="D5" s="6" t="s">
        <v>152</v>
      </c>
      <c r="E5" s="6" t="s">
        <v>161</v>
      </c>
      <c r="F5" s="6" t="s">
        <v>253</v>
      </c>
    </row>
    <row r="6" spans="1:7" ht="18" customHeight="1" x14ac:dyDescent="0.2">
      <c r="A6" s="3" t="s">
        <v>132</v>
      </c>
      <c r="B6" s="14">
        <f>SUMIFS(Reto1_Datos!$L$18:$L$107,Reto1_Datos!$D$18:$D$107,$A6,Reto1_Datos!$C$18:$C$107,B$5)</f>
        <v>793050</v>
      </c>
      <c r="C6" s="14">
        <f>SUMIFS(Reto1_Datos!$L$18:$L$107,Reto1_Datos!$D$18:$D$107,$A6,Reto1_Datos!$C$18:$C$107,C$5)</f>
        <v>1155000</v>
      </c>
      <c r="D6" s="14">
        <f>SUMIFS(Reto1_Datos!$L$18:$L$107,Reto1_Datos!$D$18:$D$107,$A6,Reto1_Datos!$C$18:$C$107,D$5)</f>
        <v>149250</v>
      </c>
      <c r="E6" s="14">
        <f>SUMIFS(Reto1_Datos!$L$18:$L$107,Reto1_Datos!$D$18:$D$107,$A6,Reto1_Datos!$C$18:$C$107,E$5)</f>
        <v>1249500</v>
      </c>
      <c r="F6" s="14">
        <f>SUM(B6:E6)</f>
        <v>3346800</v>
      </c>
    </row>
    <row r="7" spans="1:7" ht="18" customHeight="1" x14ac:dyDescent="0.2">
      <c r="A7" s="3" t="s">
        <v>136</v>
      </c>
      <c r="B7" s="14">
        <f>SUMIFS(Reto1_Datos!$L$18:$L$107,Reto1_Datos!$D$18:$D$107,$A7,Reto1_Datos!$C$18:$C$107,B$5)</f>
        <v>1142900</v>
      </c>
      <c r="C7" s="14">
        <f>SUMIFS(Reto1_Datos!$L$18:$L$107,Reto1_Datos!$D$18:$D$107,$A7,Reto1_Datos!$C$18:$C$107,C$5)</f>
        <v>207000</v>
      </c>
      <c r="D7" s="14">
        <f>SUMIFS(Reto1_Datos!$L$18:$L$107,Reto1_Datos!$D$18:$D$107,$A7,Reto1_Datos!$C$18:$C$107,D$5)</f>
        <v>1405500</v>
      </c>
      <c r="E7" s="14">
        <f>SUMIFS(Reto1_Datos!$L$18:$L$107,Reto1_Datos!$D$18:$D$107,$A7,Reto1_Datos!$C$18:$C$107,E$5)</f>
        <v>1041800</v>
      </c>
      <c r="F7" s="14">
        <f>SUM(B7:E7)</f>
        <v>3797200</v>
      </c>
    </row>
    <row r="8" spans="1:7" ht="18" customHeight="1" x14ac:dyDescent="0.2">
      <c r="A8" s="3" t="s">
        <v>139</v>
      </c>
      <c r="B8" s="14">
        <f>SUMIFS(Reto1_Datos!$L$18:$L$107,Reto1_Datos!$D$18:$D$107,$A8,Reto1_Datos!$C$18:$C$107,B$5)</f>
        <v>4207000</v>
      </c>
      <c r="C8" s="14">
        <f>SUMIFS(Reto1_Datos!$L$18:$L$107,Reto1_Datos!$D$18:$D$107,$A8,Reto1_Datos!$C$18:$C$107,C$5)</f>
        <v>3407900</v>
      </c>
      <c r="D8" s="14">
        <f>SUMIFS(Reto1_Datos!$L$18:$L$107,Reto1_Datos!$D$18:$D$107,$A8,Reto1_Datos!$C$18:$C$107,D$5)</f>
        <v>1110000</v>
      </c>
      <c r="E8" s="14">
        <f>SUMIFS(Reto1_Datos!$L$18:$L$107,Reto1_Datos!$D$18:$D$107,$A8,Reto1_Datos!$C$18:$C$107,E$5)</f>
        <v>2479200</v>
      </c>
      <c r="F8" s="14">
        <f>SUM(B8:E8)</f>
        <v>11204100</v>
      </c>
    </row>
    <row r="9" spans="1:7" ht="18" customHeight="1" x14ac:dyDescent="0.2">
      <c r="A9" s="3" t="s">
        <v>143</v>
      </c>
      <c r="B9" s="14">
        <f>SUMIFS(Reto1_Datos!$L$18:$L$107,Reto1_Datos!$D$18:$D$107,$A9,Reto1_Datos!$C$18:$C$107,B$5)</f>
        <v>519800</v>
      </c>
      <c r="C9" s="14">
        <f>SUMIFS(Reto1_Datos!$L$18:$L$107,Reto1_Datos!$D$18:$D$107,$A9,Reto1_Datos!$C$18:$C$107,C$5)</f>
        <v>698700</v>
      </c>
      <c r="D9" s="14">
        <f>SUMIFS(Reto1_Datos!$L$18:$L$107,Reto1_Datos!$D$18:$D$107,$A9,Reto1_Datos!$C$18:$C$107,D$5)</f>
        <v>686500</v>
      </c>
      <c r="E9" s="14">
        <f>SUMIFS(Reto1_Datos!$L$18:$L$107,Reto1_Datos!$D$18:$D$107,$A9,Reto1_Datos!$C$18:$C$107,E$5)</f>
        <v>1669500</v>
      </c>
      <c r="F9" s="14">
        <f>SUM(B9:E9)</f>
        <v>3574500</v>
      </c>
    </row>
    <row r="10" spans="1:7" ht="18" customHeight="1" x14ac:dyDescent="0.2">
      <c r="A10" s="3" t="s">
        <v>147</v>
      </c>
      <c r="B10" s="14">
        <f>SUMIFS(Reto1_Datos!$L$18:$L$107,Reto1_Datos!$D$18:$D$107,$A10,Reto1_Datos!$C$18:$C$107,B$5)</f>
        <v>197400</v>
      </c>
      <c r="C10" s="14">
        <f>SUMIFS(Reto1_Datos!$L$18:$L$107,Reto1_Datos!$D$18:$D$107,$A10,Reto1_Datos!$C$18:$C$107,C$5)</f>
        <v>654100</v>
      </c>
      <c r="D10" s="14">
        <f>SUMIFS(Reto1_Datos!$L$18:$L$107,Reto1_Datos!$D$18:$D$107,$A10,Reto1_Datos!$C$18:$C$107,D$5)</f>
        <v>130400</v>
      </c>
      <c r="E10" s="14">
        <f>SUMIFS(Reto1_Datos!$L$18:$L$107,Reto1_Datos!$D$18:$D$107,$A10,Reto1_Datos!$C$18:$C$107,E$5)</f>
        <v>234800</v>
      </c>
      <c r="F10" s="14">
        <f>SUM(B10:E10)</f>
        <v>1216700</v>
      </c>
    </row>
    <row r="12" spans="1:7" ht="6" customHeight="1" x14ac:dyDescent="0.2"/>
    <row r="13" spans="1:7" ht="22" customHeight="1" x14ac:dyDescent="0.2">
      <c r="A13" s="52" t="s">
        <v>346</v>
      </c>
      <c r="B13" s="30"/>
      <c r="C13" s="30"/>
      <c r="D13" s="30"/>
      <c r="E13" s="30"/>
      <c r="F13" s="30"/>
      <c r="G13" s="31"/>
    </row>
    <row r="14" spans="1:7" ht="22" customHeight="1" x14ac:dyDescent="0.2">
      <c r="A14" s="5" t="s">
        <v>43</v>
      </c>
      <c r="B14" s="6" t="s">
        <v>128</v>
      </c>
      <c r="C14" s="6" t="s">
        <v>129</v>
      </c>
      <c r="D14" s="6" t="s">
        <v>254</v>
      </c>
    </row>
    <row r="15" spans="1:7" ht="18" customHeight="1" x14ac:dyDescent="0.2">
      <c r="A15" s="3" t="s">
        <v>48</v>
      </c>
      <c r="B15" s="14">
        <f>SUMIF(Reto4_TablaDin!$E$7:$E$96,$A15,Reto4_TablaDin!$J$7:$J$96)</f>
        <v>3394020</v>
      </c>
      <c r="C15" s="14">
        <f>SUMIF(Reto4_TablaDin!$E$7:$E$96,$A15,Reto4_TablaDin!$K$7:$K$96)</f>
        <v>2036239</v>
      </c>
      <c r="D15" s="19">
        <f>(B15-C15)/B15</f>
        <v>0.4000509720037006</v>
      </c>
    </row>
    <row r="16" spans="1:7" ht="18" customHeight="1" x14ac:dyDescent="0.2">
      <c r="A16" s="3" t="s">
        <v>61</v>
      </c>
      <c r="B16" s="14">
        <f>SUMIF(Reto4_TablaDin!$E$7:$E$96,$A16,Reto4_TablaDin!$J$7:$J$96)</f>
        <v>3808403</v>
      </c>
      <c r="C16" s="14">
        <f>SUMIF(Reto4_TablaDin!$E$7:$E$96,$A16,Reto4_TablaDin!$K$7:$K$96)</f>
        <v>2284894</v>
      </c>
      <c r="D16" s="19">
        <f>(B16-C16)/B16</f>
        <v>0.40003880891806881</v>
      </c>
    </row>
    <row r="17" spans="1:7" ht="18" customHeight="1" x14ac:dyDescent="0.2">
      <c r="A17" s="3" t="s">
        <v>74</v>
      </c>
      <c r="B17" s="14">
        <f>SUMIF(Reto4_TablaDin!$E$7:$E$96,$A17,Reto4_TablaDin!$J$7:$J$96)</f>
        <v>11357109</v>
      </c>
      <c r="C17" s="14">
        <f>SUMIF(Reto4_TablaDin!$E$7:$E$96,$A17,Reto4_TablaDin!$K$7:$K$96)</f>
        <v>6814019</v>
      </c>
      <c r="D17" s="19">
        <f>(B17-C17)/B17</f>
        <v>0.40002169566216189</v>
      </c>
    </row>
    <row r="18" spans="1:7" ht="18" customHeight="1" x14ac:dyDescent="0.2">
      <c r="A18" s="3" t="s">
        <v>87</v>
      </c>
      <c r="B18" s="14">
        <f>SUMIF(Reto4_TablaDin!$E$7:$E$96,$A18,Reto4_TablaDin!$J$7:$J$96)</f>
        <v>3497247</v>
      </c>
      <c r="C18" s="14">
        <f>SUMIF(Reto4_TablaDin!$E$7:$E$96,$A18,Reto4_TablaDin!$K$7:$K$96)</f>
        <v>2098189</v>
      </c>
      <c r="D18" s="19">
        <f>(B18-C18)/B18</f>
        <v>0.40004552152021289</v>
      </c>
    </row>
    <row r="19" spans="1:7" ht="20" customHeight="1" x14ac:dyDescent="0.2">
      <c r="A19" s="3" t="s">
        <v>100</v>
      </c>
      <c r="B19" s="14">
        <f>SUMIF(Reto4_TablaDin!$E$7:$E$96,$A19,Reto4_TablaDin!$J$7:$J$96)</f>
        <v>1230944</v>
      </c>
      <c r="C19" s="14">
        <f>SUMIF(Reto4_TablaDin!$E$7:$E$96,$A19,Reto4_TablaDin!$K$7:$K$96)</f>
        <v>738406</v>
      </c>
      <c r="D19" s="19">
        <f>(B19-C19)/B19</f>
        <v>0.40013030649647752</v>
      </c>
    </row>
    <row r="20" spans="1:7" ht="43" hidden="1" customHeight="1" x14ac:dyDescent="0.2"/>
    <row r="21" spans="1:7" ht="6" customHeight="1" x14ac:dyDescent="0.2"/>
    <row r="22" spans="1:7" ht="251" customHeight="1" x14ac:dyDescent="0.2">
      <c r="A22" s="57" t="s">
        <v>255</v>
      </c>
      <c r="B22" s="58"/>
      <c r="C22" s="58"/>
      <c r="D22" s="58"/>
      <c r="E22" s="58"/>
      <c r="F22" s="58"/>
      <c r="G22" s="59"/>
    </row>
    <row r="23" spans="1:7" ht="6" customHeight="1" x14ac:dyDescent="0.2"/>
    <row r="24" spans="1:7" ht="52" customHeight="1" x14ac:dyDescent="0.2">
      <c r="A24" s="36" t="s">
        <v>256</v>
      </c>
      <c r="B24" s="30"/>
      <c r="C24" s="30"/>
      <c r="D24" s="30"/>
      <c r="E24" s="30"/>
      <c r="F24" s="30"/>
      <c r="G24" s="31"/>
    </row>
    <row r="25" spans="1:7" ht="6" customHeight="1" x14ac:dyDescent="0.2"/>
    <row r="26" spans="1:7" ht="22" customHeight="1" x14ac:dyDescent="0.2">
      <c r="A26" s="45" t="s">
        <v>257</v>
      </c>
      <c r="B26" s="30"/>
      <c r="C26" s="30"/>
      <c r="D26" s="30"/>
      <c r="E26" s="30"/>
      <c r="F26" s="30"/>
      <c r="G26" s="31"/>
    </row>
    <row r="27" spans="1:7" ht="36" customHeight="1" x14ac:dyDescent="0.2">
      <c r="A27" s="60" t="s">
        <v>258</v>
      </c>
      <c r="B27" s="39"/>
      <c r="C27" s="39"/>
      <c r="D27" s="39"/>
      <c r="E27" s="39"/>
      <c r="F27" s="39"/>
      <c r="G27" s="40"/>
    </row>
    <row r="28" spans="1:7" ht="126" customHeight="1" x14ac:dyDescent="0.2">
      <c r="A28" s="38" t="s">
        <v>259</v>
      </c>
      <c r="B28" s="39"/>
      <c r="C28" s="39"/>
      <c r="D28" s="39"/>
      <c r="E28" s="39"/>
      <c r="F28" s="39"/>
      <c r="G28" s="40"/>
    </row>
    <row r="29" spans="1:7" ht="6" customHeight="1" x14ac:dyDescent="0.2"/>
    <row r="30" spans="1:7" ht="36" customHeight="1" x14ac:dyDescent="0.2">
      <c r="A30" s="60" t="s">
        <v>260</v>
      </c>
      <c r="B30" s="39"/>
      <c r="C30" s="39"/>
      <c r="D30" s="39"/>
      <c r="E30" s="39"/>
      <c r="F30" s="39"/>
      <c r="G30" s="40"/>
    </row>
    <row r="31" spans="1:7" ht="127" customHeight="1" x14ac:dyDescent="0.2">
      <c r="A31" s="38" t="s">
        <v>347</v>
      </c>
      <c r="B31" s="39"/>
      <c r="C31" s="39"/>
      <c r="D31" s="39"/>
      <c r="E31" s="39"/>
      <c r="F31" s="39"/>
      <c r="G31" s="40"/>
    </row>
    <row r="32" spans="1:7" ht="6" customHeight="1" x14ac:dyDescent="0.2"/>
    <row r="33" spans="1:7" ht="36" customHeight="1" x14ac:dyDescent="0.2">
      <c r="A33" s="60" t="s">
        <v>261</v>
      </c>
      <c r="B33" s="39"/>
      <c r="C33" s="39"/>
      <c r="D33" s="39"/>
      <c r="E33" s="39"/>
      <c r="F33" s="39"/>
      <c r="G33" s="40"/>
    </row>
    <row r="34" spans="1:7" ht="83" customHeight="1" x14ac:dyDescent="0.2">
      <c r="A34" s="38" t="s">
        <v>348</v>
      </c>
      <c r="B34" s="39"/>
      <c r="C34" s="39"/>
      <c r="D34" s="39"/>
      <c r="E34" s="39"/>
      <c r="F34" s="39"/>
      <c r="G34" s="40"/>
    </row>
    <row r="35" spans="1:7" ht="6" customHeight="1" x14ac:dyDescent="0.2"/>
    <row r="36" spans="1:7" ht="36" customHeight="1" x14ac:dyDescent="0.2">
      <c r="A36" s="60" t="s">
        <v>262</v>
      </c>
      <c r="B36" s="39"/>
      <c r="C36" s="39"/>
      <c r="D36" s="39"/>
      <c r="E36" s="39"/>
      <c r="F36" s="39"/>
      <c r="G36" s="40"/>
    </row>
    <row r="37" spans="1:7" ht="105" customHeight="1" x14ac:dyDescent="0.2">
      <c r="A37" s="38" t="s">
        <v>349</v>
      </c>
      <c r="B37" s="39"/>
      <c r="C37" s="39"/>
      <c r="D37" s="39"/>
      <c r="E37" s="39"/>
      <c r="F37" s="39"/>
      <c r="G37" s="40"/>
    </row>
    <row r="38" spans="1:7" ht="6" customHeight="1" x14ac:dyDescent="0.2"/>
    <row r="39" spans="1:7" ht="44" customHeight="1" x14ac:dyDescent="0.2">
      <c r="A39" s="44" t="s">
        <v>263</v>
      </c>
      <c r="B39" s="30"/>
      <c r="C39" s="30"/>
      <c r="D39" s="30"/>
      <c r="E39" s="30"/>
      <c r="F39" s="30"/>
      <c r="G39" s="31"/>
    </row>
  </sheetData>
  <mergeCells count="16">
    <mergeCell ref="A1:G1"/>
    <mergeCell ref="A27:G27"/>
    <mergeCell ref="A31:G31"/>
    <mergeCell ref="A2:G2"/>
    <mergeCell ref="A39:G39"/>
    <mergeCell ref="A22:G22"/>
    <mergeCell ref="A34:G34"/>
    <mergeCell ref="A4:G4"/>
    <mergeCell ref="A26:G26"/>
    <mergeCell ref="A24:G24"/>
    <mergeCell ref="A30:G30"/>
    <mergeCell ref="A33:G33"/>
    <mergeCell ref="A28:G28"/>
    <mergeCell ref="A37:G37"/>
    <mergeCell ref="A13:G13"/>
    <mergeCell ref="A36:G36"/>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5623"/>
  </sheetPr>
  <dimension ref="A1:C41"/>
  <sheetViews>
    <sheetView topLeftCell="A31" zoomScale="113" workbookViewId="0">
      <selection activeCell="A37" sqref="A37:C37"/>
    </sheetView>
  </sheetViews>
  <sheetFormatPr baseColWidth="10" defaultColWidth="8.83203125" defaultRowHeight="15" x14ac:dyDescent="0.2"/>
  <cols>
    <col min="1" max="1" width="5" customWidth="1"/>
    <col min="2" max="2" width="62" customWidth="1"/>
    <col min="3" max="3" width="5" customWidth="1"/>
  </cols>
  <sheetData>
    <row r="1" spans="1:3" ht="36" customHeight="1" x14ac:dyDescent="0.2">
      <c r="A1" s="33" t="s">
        <v>264</v>
      </c>
      <c r="B1" s="30"/>
      <c r="C1" s="31"/>
    </row>
    <row r="2" spans="1:3" ht="48" customHeight="1" x14ac:dyDescent="0.2">
      <c r="A2" s="35" t="s">
        <v>265</v>
      </c>
      <c r="B2" s="30"/>
      <c r="C2" s="31"/>
    </row>
    <row r="3" spans="1:3" ht="6" customHeight="1" x14ac:dyDescent="0.2"/>
    <row r="4" spans="1:3" ht="22" customHeight="1" x14ac:dyDescent="0.2">
      <c r="A4" s="41" t="s">
        <v>266</v>
      </c>
      <c r="B4" s="30"/>
      <c r="C4" s="31"/>
    </row>
    <row r="5" spans="1:3" ht="28" customHeight="1" x14ac:dyDescent="0.2">
      <c r="A5" s="34" t="s">
        <v>267</v>
      </c>
      <c r="B5" s="30"/>
      <c r="C5" s="31"/>
    </row>
    <row r="6" spans="1:3" ht="28" customHeight="1" x14ac:dyDescent="0.2">
      <c r="A6" s="34" t="s">
        <v>268</v>
      </c>
      <c r="B6" s="30"/>
      <c r="C6" s="31"/>
    </row>
    <row r="7" spans="1:3" ht="28" customHeight="1" x14ac:dyDescent="0.2">
      <c r="A7" s="34" t="s">
        <v>269</v>
      </c>
      <c r="B7" s="30"/>
      <c r="C7" s="31"/>
    </row>
    <row r="8" spans="1:3" ht="28" customHeight="1" x14ac:dyDescent="0.2">
      <c r="A8" s="34" t="s">
        <v>270</v>
      </c>
      <c r="B8" s="30"/>
      <c r="C8" s="31"/>
    </row>
    <row r="9" spans="1:3" ht="28" customHeight="1" x14ac:dyDescent="0.2">
      <c r="A9" s="34" t="s">
        <v>271</v>
      </c>
      <c r="B9" s="30"/>
      <c r="C9" s="31"/>
    </row>
    <row r="10" spans="1:3" ht="6" customHeight="1" x14ac:dyDescent="0.2"/>
    <row r="11" spans="1:3" ht="22" customHeight="1" x14ac:dyDescent="0.2">
      <c r="A11" s="29" t="s">
        <v>272</v>
      </c>
      <c r="B11" s="30"/>
      <c r="C11" s="31"/>
    </row>
    <row r="12" spans="1:3" ht="24" customHeight="1" x14ac:dyDescent="0.2">
      <c r="A12" s="20" t="s">
        <v>273</v>
      </c>
      <c r="B12" s="32" t="s">
        <v>274</v>
      </c>
    </row>
    <row r="13" spans="1:3" ht="24" customHeight="1" x14ac:dyDescent="0.2">
      <c r="A13" s="20" t="s">
        <v>275</v>
      </c>
      <c r="B13" s="32" t="s">
        <v>276</v>
      </c>
    </row>
    <row r="14" spans="1:3" ht="24" customHeight="1" x14ac:dyDescent="0.2">
      <c r="A14" s="20" t="s">
        <v>277</v>
      </c>
      <c r="B14" s="32" t="s">
        <v>278</v>
      </c>
    </row>
    <row r="15" spans="1:3" ht="24" customHeight="1" x14ac:dyDescent="0.2">
      <c r="A15" s="20" t="s">
        <v>279</v>
      </c>
      <c r="B15" s="32" t="s">
        <v>5</v>
      </c>
    </row>
    <row r="16" spans="1:3" ht="24" customHeight="1" x14ac:dyDescent="0.2">
      <c r="A16" s="20" t="s">
        <v>280</v>
      </c>
      <c r="B16" s="32" t="s">
        <v>281</v>
      </c>
    </row>
    <row r="17" spans="1:3" ht="6" customHeight="1" x14ac:dyDescent="0.2"/>
    <row r="18" spans="1:3" ht="22" customHeight="1" x14ac:dyDescent="0.2">
      <c r="A18" s="45" t="s">
        <v>282</v>
      </c>
      <c r="B18" s="30"/>
      <c r="C18" s="31"/>
    </row>
    <row r="19" spans="1:3" ht="44" customHeight="1" x14ac:dyDescent="0.2">
      <c r="A19" s="42" t="s">
        <v>283</v>
      </c>
      <c r="B19" s="30"/>
      <c r="C19" s="31"/>
    </row>
    <row r="20" spans="1:3" ht="6" customHeight="1" x14ac:dyDescent="0.2"/>
    <row r="21" spans="1:3" ht="24" customHeight="1" x14ac:dyDescent="0.2">
      <c r="A21" s="43" t="s">
        <v>284</v>
      </c>
      <c r="B21" s="30"/>
      <c r="C21" s="31"/>
    </row>
    <row r="22" spans="1:3" ht="72" customHeight="1" x14ac:dyDescent="0.2">
      <c r="A22" s="37" t="s">
        <v>285</v>
      </c>
      <c r="B22" s="30"/>
      <c r="C22" s="31"/>
    </row>
    <row r="23" spans="1:3" ht="18" customHeight="1" x14ac:dyDescent="0.2">
      <c r="A23" s="36" t="s">
        <v>286</v>
      </c>
      <c r="B23" s="30"/>
      <c r="C23" s="31"/>
    </row>
    <row r="24" spans="1:3" ht="80" customHeight="1" x14ac:dyDescent="0.2">
      <c r="A24" s="38"/>
      <c r="B24" s="39"/>
      <c r="C24" s="40"/>
    </row>
    <row r="25" spans="1:3" ht="6" customHeight="1" x14ac:dyDescent="0.2"/>
    <row r="26" spans="1:3" ht="24" customHeight="1" x14ac:dyDescent="0.2">
      <c r="A26" s="43" t="s">
        <v>287</v>
      </c>
      <c r="B26" s="30"/>
      <c r="C26" s="31"/>
    </row>
    <row r="27" spans="1:3" ht="72" customHeight="1" x14ac:dyDescent="0.2">
      <c r="A27" s="37" t="s">
        <v>288</v>
      </c>
      <c r="B27" s="30"/>
      <c r="C27" s="31"/>
    </row>
    <row r="28" spans="1:3" ht="18" customHeight="1" x14ac:dyDescent="0.2">
      <c r="A28" s="36" t="s">
        <v>286</v>
      </c>
      <c r="B28" s="30"/>
      <c r="C28" s="31"/>
    </row>
    <row r="29" spans="1:3" ht="80" customHeight="1" x14ac:dyDescent="0.2">
      <c r="A29" s="38"/>
      <c r="B29" s="39"/>
      <c r="C29" s="40"/>
    </row>
    <row r="30" spans="1:3" ht="6" customHeight="1" x14ac:dyDescent="0.2"/>
    <row r="31" spans="1:3" ht="24" customHeight="1" x14ac:dyDescent="0.2">
      <c r="A31" s="43" t="s">
        <v>289</v>
      </c>
      <c r="B31" s="30"/>
      <c r="C31" s="31"/>
    </row>
    <row r="32" spans="1:3" ht="72" customHeight="1" x14ac:dyDescent="0.2">
      <c r="A32" s="37" t="s">
        <v>290</v>
      </c>
      <c r="B32" s="30"/>
      <c r="C32" s="31"/>
    </row>
    <row r="33" spans="1:3" ht="18" customHeight="1" x14ac:dyDescent="0.2">
      <c r="A33" s="36" t="s">
        <v>286</v>
      </c>
      <c r="B33" s="30"/>
      <c r="C33" s="31"/>
    </row>
    <row r="34" spans="1:3" ht="80" customHeight="1" x14ac:dyDescent="0.2">
      <c r="A34" s="38"/>
      <c r="B34" s="39"/>
      <c r="C34" s="40"/>
    </row>
    <row r="35" spans="1:3" ht="6" customHeight="1" x14ac:dyDescent="0.2"/>
    <row r="36" spans="1:3" ht="24" customHeight="1" x14ac:dyDescent="0.2">
      <c r="A36" s="43" t="s">
        <v>291</v>
      </c>
      <c r="B36" s="30"/>
      <c r="C36" s="31"/>
    </row>
    <row r="37" spans="1:3" ht="72" customHeight="1" x14ac:dyDescent="0.2">
      <c r="A37" s="37" t="s">
        <v>292</v>
      </c>
      <c r="B37" s="30"/>
      <c r="C37" s="31"/>
    </row>
    <row r="38" spans="1:3" ht="18" customHeight="1" x14ac:dyDescent="0.2">
      <c r="A38" s="36" t="s">
        <v>286</v>
      </c>
      <c r="B38" s="30"/>
      <c r="C38" s="31"/>
    </row>
    <row r="39" spans="1:3" ht="80" customHeight="1" x14ac:dyDescent="0.2">
      <c r="A39" s="38"/>
      <c r="B39" s="39"/>
      <c r="C39" s="40"/>
    </row>
    <row r="40" spans="1:3" ht="6" customHeight="1" x14ac:dyDescent="0.2"/>
    <row r="41" spans="1:3" ht="44" customHeight="1" x14ac:dyDescent="0.2">
      <c r="A41" s="44" t="s">
        <v>293</v>
      </c>
      <c r="B41" s="30"/>
      <c r="C41" s="31"/>
    </row>
  </sheetData>
  <mergeCells count="33">
    <mergeCell ref="A41:C41"/>
    <mergeCell ref="A37:C37"/>
    <mergeCell ref="B15"/>
    <mergeCell ref="A18:C18"/>
    <mergeCell ref="A27:C27"/>
    <mergeCell ref="A21:C21"/>
    <mergeCell ref="A26:C26"/>
    <mergeCell ref="A38:C38"/>
    <mergeCell ref="A39:C39"/>
    <mergeCell ref="A34:C34"/>
    <mergeCell ref="A24:C24"/>
    <mergeCell ref="A36:C36"/>
    <mergeCell ref="A33:C33"/>
    <mergeCell ref="A5:C5"/>
    <mergeCell ref="A23:C23"/>
    <mergeCell ref="A32:C32"/>
    <mergeCell ref="A8:C8"/>
    <mergeCell ref="A22:C22"/>
    <mergeCell ref="B16"/>
    <mergeCell ref="A29:C29"/>
    <mergeCell ref="A28:C28"/>
    <mergeCell ref="A19:C19"/>
    <mergeCell ref="B12"/>
    <mergeCell ref="A31:C31"/>
    <mergeCell ref="A9:C9"/>
    <mergeCell ref="B14"/>
    <mergeCell ref="A11:C11"/>
    <mergeCell ref="B13"/>
    <mergeCell ref="A1:C1"/>
    <mergeCell ref="A6:C6"/>
    <mergeCell ref="A7:C7"/>
    <mergeCell ref="A2:C2"/>
    <mergeCell ref="A4:C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C55"/>
  <sheetViews>
    <sheetView workbookViewId="0">
      <selection sqref="A1:C1"/>
    </sheetView>
  </sheetViews>
  <sheetFormatPr baseColWidth="10" defaultColWidth="8.83203125" defaultRowHeight="15" x14ac:dyDescent="0.2"/>
  <cols>
    <col min="1" max="1" width="4" customWidth="1"/>
    <col min="2" max="2" width="65" customWidth="1"/>
    <col min="3" max="3" width="3" customWidth="1"/>
  </cols>
  <sheetData>
    <row r="1" spans="1:3" ht="36" customHeight="1" x14ac:dyDescent="0.2">
      <c r="A1" s="56" t="s">
        <v>294</v>
      </c>
      <c r="B1" s="30"/>
      <c r="C1" s="31"/>
    </row>
    <row r="2" spans="1:3" ht="56" customHeight="1" x14ac:dyDescent="0.2">
      <c r="A2" s="63" t="s">
        <v>295</v>
      </c>
      <c r="B2" s="30"/>
      <c r="C2" s="31"/>
    </row>
    <row r="3" spans="1:3" ht="6" customHeight="1" x14ac:dyDescent="0.2"/>
    <row r="4" spans="1:3" ht="28" customHeight="1" x14ac:dyDescent="0.2">
      <c r="A4" s="43" t="s">
        <v>296</v>
      </c>
      <c r="B4" s="30"/>
      <c r="C4" s="31"/>
    </row>
    <row r="5" spans="1:3" ht="44" customHeight="1" x14ac:dyDescent="0.2">
      <c r="A5" s="62" t="s">
        <v>297</v>
      </c>
      <c r="B5" s="30"/>
      <c r="C5" s="31"/>
    </row>
    <row r="6" spans="1:3" ht="80" customHeight="1" x14ac:dyDescent="0.2">
      <c r="A6" s="61" t="s">
        <v>298</v>
      </c>
      <c r="B6" s="30"/>
      <c r="C6" s="31"/>
    </row>
    <row r="7" spans="1:3" ht="4" customHeight="1" x14ac:dyDescent="0.2"/>
    <row r="8" spans="1:3" ht="44" customHeight="1" x14ac:dyDescent="0.2">
      <c r="A8" s="62" t="s">
        <v>299</v>
      </c>
      <c r="B8" s="30"/>
      <c r="C8" s="31"/>
    </row>
    <row r="9" spans="1:3" ht="80" customHeight="1" x14ac:dyDescent="0.2">
      <c r="A9" s="61" t="s">
        <v>300</v>
      </c>
      <c r="B9" s="30"/>
      <c r="C9" s="31"/>
    </row>
    <row r="10" spans="1:3" ht="4" customHeight="1" x14ac:dyDescent="0.2"/>
    <row r="11" spans="1:3" ht="44" customHeight="1" x14ac:dyDescent="0.2">
      <c r="A11" s="62" t="s">
        <v>301</v>
      </c>
      <c r="B11" s="30"/>
      <c r="C11" s="31"/>
    </row>
    <row r="12" spans="1:3" ht="80" customHeight="1" x14ac:dyDescent="0.2">
      <c r="A12" s="61" t="s">
        <v>302</v>
      </c>
      <c r="B12" s="30"/>
      <c r="C12" s="31"/>
    </row>
    <row r="13" spans="1:3" ht="4" customHeight="1" x14ac:dyDescent="0.2"/>
    <row r="14" spans="1:3" ht="44" customHeight="1" x14ac:dyDescent="0.2">
      <c r="A14" s="62" t="s">
        <v>303</v>
      </c>
      <c r="B14" s="30"/>
      <c r="C14" s="31"/>
    </row>
    <row r="15" spans="1:3" ht="80" customHeight="1" x14ac:dyDescent="0.2">
      <c r="A15" s="61" t="s">
        <v>350</v>
      </c>
      <c r="B15" s="30"/>
      <c r="C15" s="31"/>
    </row>
    <row r="16" spans="1:3" ht="4" customHeight="1" x14ac:dyDescent="0.2"/>
    <row r="17" spans="1:3" ht="6" customHeight="1" x14ac:dyDescent="0.2"/>
    <row r="18" spans="1:3" ht="28" customHeight="1" x14ac:dyDescent="0.2">
      <c r="A18" s="65" t="s">
        <v>304</v>
      </c>
      <c r="B18" s="30"/>
      <c r="C18" s="31"/>
    </row>
    <row r="19" spans="1:3" ht="44" customHeight="1" x14ac:dyDescent="0.2">
      <c r="A19" s="62" t="s">
        <v>305</v>
      </c>
      <c r="B19" s="30"/>
      <c r="C19" s="31"/>
    </row>
    <row r="20" spans="1:3" ht="80" customHeight="1" x14ac:dyDescent="0.2">
      <c r="A20" s="61" t="s">
        <v>306</v>
      </c>
      <c r="B20" s="30"/>
      <c r="C20" s="31"/>
    </row>
    <row r="21" spans="1:3" ht="4" customHeight="1" x14ac:dyDescent="0.2"/>
    <row r="22" spans="1:3" ht="44" customHeight="1" x14ac:dyDescent="0.2">
      <c r="A22" s="62" t="s">
        <v>307</v>
      </c>
      <c r="B22" s="30"/>
      <c r="C22" s="31"/>
    </row>
    <row r="23" spans="1:3" ht="80" customHeight="1" x14ac:dyDescent="0.2">
      <c r="A23" s="61" t="s">
        <v>308</v>
      </c>
      <c r="B23" s="30"/>
      <c r="C23" s="31"/>
    </row>
    <row r="24" spans="1:3" ht="4" customHeight="1" x14ac:dyDescent="0.2"/>
    <row r="25" spans="1:3" ht="44" customHeight="1" x14ac:dyDescent="0.2">
      <c r="A25" s="62" t="s">
        <v>309</v>
      </c>
      <c r="B25" s="30"/>
      <c r="C25" s="31"/>
    </row>
    <row r="26" spans="1:3" ht="80" customHeight="1" x14ac:dyDescent="0.2">
      <c r="A26" s="61" t="s">
        <v>310</v>
      </c>
      <c r="B26" s="30"/>
      <c r="C26" s="31"/>
    </row>
    <row r="27" spans="1:3" ht="4" customHeight="1" x14ac:dyDescent="0.2"/>
    <row r="28" spans="1:3" ht="44" customHeight="1" x14ac:dyDescent="0.2">
      <c r="A28" s="62" t="s">
        <v>311</v>
      </c>
      <c r="B28" s="30"/>
      <c r="C28" s="31"/>
    </row>
    <row r="29" spans="1:3" ht="80" customHeight="1" x14ac:dyDescent="0.2">
      <c r="A29" s="61" t="s">
        <v>312</v>
      </c>
      <c r="B29" s="30"/>
      <c r="C29" s="31"/>
    </row>
    <row r="30" spans="1:3" ht="4" customHeight="1" x14ac:dyDescent="0.2"/>
    <row r="31" spans="1:3" ht="6" customHeight="1" x14ac:dyDescent="0.2"/>
    <row r="32" spans="1:3" ht="28" customHeight="1" x14ac:dyDescent="0.2">
      <c r="A32" s="43" t="s">
        <v>313</v>
      </c>
      <c r="B32" s="30"/>
      <c r="C32" s="31"/>
    </row>
    <row r="33" spans="1:3" ht="44" customHeight="1" x14ac:dyDescent="0.2">
      <c r="A33" s="62" t="s">
        <v>314</v>
      </c>
      <c r="B33" s="30"/>
      <c r="C33" s="31"/>
    </row>
    <row r="34" spans="1:3" ht="88" customHeight="1" x14ac:dyDescent="0.2">
      <c r="A34" s="61" t="s">
        <v>315</v>
      </c>
      <c r="B34" s="30"/>
      <c r="C34" s="31"/>
    </row>
    <row r="35" spans="1:3" ht="4" customHeight="1" x14ac:dyDescent="0.2"/>
    <row r="36" spans="1:3" ht="44" customHeight="1" x14ac:dyDescent="0.2">
      <c r="A36" s="62" t="s">
        <v>316</v>
      </c>
      <c r="B36" s="30"/>
      <c r="C36" s="31"/>
    </row>
    <row r="37" spans="1:3" ht="88" customHeight="1" x14ac:dyDescent="0.2">
      <c r="A37" s="61" t="s">
        <v>317</v>
      </c>
      <c r="B37" s="30"/>
      <c r="C37" s="31"/>
    </row>
    <row r="38" spans="1:3" ht="4" customHeight="1" x14ac:dyDescent="0.2"/>
    <row r="39" spans="1:3" ht="44" customHeight="1" x14ac:dyDescent="0.2">
      <c r="A39" s="62" t="s">
        <v>318</v>
      </c>
      <c r="B39" s="30"/>
      <c r="C39" s="31"/>
    </row>
    <row r="40" spans="1:3" ht="88" customHeight="1" x14ac:dyDescent="0.2">
      <c r="A40" s="61" t="s">
        <v>319</v>
      </c>
      <c r="B40" s="30"/>
      <c r="C40" s="31"/>
    </row>
    <row r="41" spans="1:3" ht="4" customHeight="1" x14ac:dyDescent="0.2"/>
    <row r="42" spans="1:3" ht="6" customHeight="1" x14ac:dyDescent="0.2"/>
    <row r="43" spans="1:3" ht="28" customHeight="1" x14ac:dyDescent="0.2">
      <c r="A43" s="64" t="s">
        <v>320</v>
      </c>
      <c r="B43" s="30"/>
      <c r="C43" s="31"/>
    </row>
    <row r="44" spans="1:3" ht="36" customHeight="1" x14ac:dyDescent="0.2">
      <c r="A44" s="34" t="s">
        <v>321</v>
      </c>
      <c r="B44" s="30"/>
      <c r="C44" s="31"/>
    </row>
    <row r="45" spans="1:3" ht="4" customHeight="1" x14ac:dyDescent="0.2"/>
    <row r="46" spans="1:3" ht="36" customHeight="1" x14ac:dyDescent="0.2">
      <c r="A46" s="34" t="s">
        <v>322</v>
      </c>
      <c r="B46" s="30"/>
      <c r="C46" s="31"/>
    </row>
    <row r="47" spans="1:3" ht="4" customHeight="1" x14ac:dyDescent="0.2"/>
    <row r="48" spans="1:3" ht="36" customHeight="1" x14ac:dyDescent="0.2">
      <c r="A48" s="34" t="s">
        <v>323</v>
      </c>
      <c r="B48" s="30"/>
      <c r="C48" s="31"/>
    </row>
    <row r="49" spans="1:3" ht="4" customHeight="1" x14ac:dyDescent="0.2"/>
    <row r="50" spans="1:3" ht="36" customHeight="1" x14ac:dyDescent="0.2">
      <c r="A50" s="34" t="s">
        <v>324</v>
      </c>
      <c r="B50" s="30"/>
      <c r="C50" s="31"/>
    </row>
    <row r="51" spans="1:3" ht="4" customHeight="1" x14ac:dyDescent="0.2"/>
    <row r="52" spans="1:3" ht="36" customHeight="1" x14ac:dyDescent="0.2">
      <c r="A52" s="34" t="s">
        <v>325</v>
      </c>
      <c r="B52" s="30"/>
      <c r="C52" s="31"/>
    </row>
    <row r="53" spans="1:3" ht="4" customHeight="1" x14ac:dyDescent="0.2"/>
    <row r="54" spans="1:3" ht="6" customHeight="1" x14ac:dyDescent="0.2"/>
    <row r="55" spans="1:3" ht="52" customHeight="1" x14ac:dyDescent="0.2">
      <c r="A55" s="66" t="s">
        <v>326</v>
      </c>
      <c r="B55" s="30"/>
      <c r="C55" s="31"/>
    </row>
  </sheetData>
  <mergeCells count="34">
    <mergeCell ref="A46:C46"/>
    <mergeCell ref="A37:C37"/>
    <mergeCell ref="A18:C18"/>
    <mergeCell ref="A55:C55"/>
    <mergeCell ref="A52:C52"/>
    <mergeCell ref="A19:C19"/>
    <mergeCell ref="A44:C44"/>
    <mergeCell ref="A40:C40"/>
    <mergeCell ref="A48:C48"/>
    <mergeCell ref="A36:C36"/>
    <mergeCell ref="A11:C11"/>
    <mergeCell ref="A12:C12"/>
    <mergeCell ref="A50:C50"/>
    <mergeCell ref="A26:C26"/>
    <mergeCell ref="A33:C33"/>
    <mergeCell ref="A23:C23"/>
    <mergeCell ref="A32:C32"/>
    <mergeCell ref="A14:C14"/>
    <mergeCell ref="A22:C22"/>
    <mergeCell ref="A29:C29"/>
    <mergeCell ref="A20:C20"/>
    <mergeCell ref="A43:C43"/>
    <mergeCell ref="A28:C28"/>
    <mergeCell ref="A25:C25"/>
    <mergeCell ref="A1:C1"/>
    <mergeCell ref="A6:C6"/>
    <mergeCell ref="A9:C9"/>
    <mergeCell ref="A39:C39"/>
    <mergeCell ref="A34:C34"/>
    <mergeCell ref="A15:C15"/>
    <mergeCell ref="A2:C2"/>
    <mergeCell ref="A5:C5"/>
    <mergeCell ref="A8:C8"/>
    <mergeCell ref="A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0 - Portada</vt:lpstr>
      <vt:lpstr>Catalogo_Productos</vt:lpstr>
      <vt:lpstr>Reto1_Datos</vt:lpstr>
      <vt:lpstr>Reto2_Logica</vt:lpstr>
      <vt:lpstr>Reto3_Estadisticas</vt:lpstr>
      <vt:lpstr>Reto4_TablaDin</vt:lpstr>
      <vt:lpstr>Reto5_Financiero</vt:lpstr>
      <vt:lpstr>Reto6_Dashboard</vt:lpstr>
      <vt:lpstr>Analisis_Individual</vt:lpstr>
      <vt:lpstr>Tips_Defensa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Lara</cp:lastModifiedBy>
  <dcterms:created xsi:type="dcterms:W3CDTF">2026-08-13T19:06:39Z</dcterms:created>
  <dcterms:modified xsi:type="dcterms:W3CDTF">2026-10-02T04:12:39Z</dcterms:modified>
</cp:coreProperties>
</file>